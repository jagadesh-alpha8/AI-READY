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Fill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Progress" sheetId="3" state="visible" r:id="rId3"/>
    <sheet xmlns:r="http://schemas.openxmlformats.org/officeDocument/2006/relationships" name="Watch Feeds" sheetId="4" state="visible" r:id="rId4"/>
    <sheet xmlns:r="http://schemas.openxmlformats.org/officeDocument/2006/relationships" name="Benchmark Catalogue" sheetId="5" state="visible" r:id="rId5"/>
    <sheet xmlns:r="http://schemas.openxmlformats.org/officeDocument/2006/relationships" name="Daily Log" sheetId="6" state="visible" r:id="rId6"/>
    <sheet xmlns:r="http://schemas.openxmlformats.org/officeDocument/2006/relationships" name="Lists" sheetId="7" state="visible" r:id="rId7"/>
  </sheets>
  <definedNames>
    <definedName name="_xlnm._FilterDatabase" localSheetId="4" hidden="1">'Benchmark Catalogue'!$A$3:$F$63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\-mmm\-yyyy"/>
  </numFmts>
  <fonts count="15">
    <font>
      <name val="Calibri"/>
      <color theme="1"/>
      <sz val="11"/>
      <scheme val="minor"/>
    </font>
    <font>
      <name val="Calibri"/>
      <color theme="1"/>
      <sz val="10"/>
    </font>
    <font>
      <name val="Calibri"/>
      <b val="1"/>
      <color rgb="FF1F3864"/>
      <sz val="10"/>
    </font>
    <font>
      <name val="Calibri"/>
      <color rgb="FF595959"/>
      <sz val="10"/>
    </font>
    <font>
      <name val="Calibri"/>
      <b val="1"/>
      <color theme="1"/>
      <sz val="10"/>
    </font>
    <font>
      <name val="Calibri"/>
      <b val="1"/>
      <color rgb="FFFFFFFF"/>
      <sz val="10"/>
    </font>
    <font>
      <name val="Calibri"/>
      <color rgb="FF0000FF"/>
      <sz val="10"/>
      <u val="single"/>
    </font>
    <font>
      <name val="Calibri"/>
      <color rgb="FF0563C1"/>
      <sz val="10"/>
      <u val="single"/>
    </font>
    <font>
      <name val="Calibri"/>
      <color rgb="FF0000FF"/>
      <sz val="10"/>
      <u val="single"/>
    </font>
    <font>
      <name val="Calibri"/>
      <color rgb="FF0563C1"/>
      <sz val="10"/>
      <u val="single"/>
    </font>
    <font>
      <name val="Calibri"/>
      <color rgb="FF0000FF"/>
      <sz val="10"/>
      <u val="single"/>
    </font>
    <font>
      <name val="Calibri"/>
      <color rgb="FF0563C1"/>
      <sz val="10"/>
      <u val="single"/>
    </font>
    <font>
      <name val="Anthropic-sans"/>
      <color rgb="FFF0EFEC"/>
      <sz val="11"/>
      <u val="single"/>
    </font>
    <font>
      <name val="Calibri"/>
      <color rgb="FF0563C1"/>
      <sz val="10"/>
      <u val="single"/>
    </font>
    <font>
      <name val="Calibri"/>
      <color rgb="FF0000FF"/>
      <sz val="10"/>
      <u val="single"/>
    </font>
  </fonts>
  <fills count="7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7F7F7F"/>
        <bgColor rgb="FF7F7F7F"/>
      </patternFill>
    </fill>
    <fill>
      <patternFill patternType="solid">
        <fgColor rgb="FFC55A11"/>
        <bgColor rgb="FFC55A11"/>
      </patternFill>
    </fill>
    <fill>
      <patternFill patternType="solid">
        <fgColor rgb="FF151515"/>
        <bgColor rgb="FF151515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2" borderId="2" applyAlignment="1" pivotButton="0" quotePrefix="0" xfId="0">
      <alignment vertical="top" wrapText="1"/>
    </xf>
    <xf numFmtId="0" fontId="1" fillId="2" borderId="2" pivotButton="0" quotePrefix="0" xfId="0"/>
    <xf numFmtId="0" fontId="4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1" fillId="0" borderId="1" pivotButton="0" quotePrefix="0" xfId="0"/>
    <xf numFmtId="164" fontId="1" fillId="0" borderId="1" pivotButton="0" quotePrefix="0" xfId="0"/>
    <xf numFmtId="164" fontId="1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9" fontId="1" fillId="0" borderId="1" pivotButton="0" quotePrefix="0" xfId="0"/>
    <xf numFmtId="0" fontId="10" fillId="0" borderId="1" applyAlignment="1" pivotButton="0" quotePrefix="0" xfId="0">
      <alignment vertical="top" wrapText="1"/>
    </xf>
    <xf numFmtId="0" fontId="4" fillId="0" borderId="1" pivotButton="0" quotePrefix="0" xfId="0"/>
    <xf numFmtId="9" fontId="4" fillId="0" borderId="1" pivotButton="0" quotePrefix="0" xfId="0"/>
    <xf numFmtId="0" fontId="11" fillId="0" borderId="1" applyAlignment="1" pivotButton="0" quotePrefix="0" xfId="0">
      <alignment vertical="top" wrapText="1"/>
    </xf>
    <xf numFmtId="0" fontId="12" fillId="5" borderId="0" pivotButton="0" quotePrefix="0" xfId="0"/>
    <xf numFmtId="0" fontId="1" fillId="6" borderId="1" applyAlignment="1" pivotButton="0" quotePrefix="0" xfId="0">
      <alignment vertical="top" wrapText="1"/>
    </xf>
    <xf numFmtId="164" fontId="1" fillId="6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6" borderId="1" applyAlignment="1" pivotButton="0" quotePrefix="0" xfId="0">
      <alignment vertical="top" wrapText="1"/>
    </xf>
    <xf numFmtId="0" fontId="5" fillId="2" borderId="2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>
        <name val="Arial"/>
        <color rgb="FF006100"/>
      </font>
      <fill>
        <patternFill patternType="solid">
          <fgColor rgb="FFC6EFCE"/>
          <bgColor rgb="FFC6EFCE"/>
        </patternFill>
      </fill>
      <border/>
    </dxf>
    <dxf>
      <font>
        <name val="Arial"/>
        <color rgb="FF7F7F7F"/>
      </font>
      <fill>
        <patternFill patternType="solid">
          <fgColor rgb="FFF2F2F2"/>
          <bgColor rgb="FFF2F2F2"/>
        </patternFill>
      </fill>
      <border/>
    </dxf>
    <dxf>
      <font>
        <name val="Arial"/>
        <color rgb="FF9C5700"/>
      </font>
      <fill>
        <patternFill patternType="solid">
          <fgColor rgb="FFFFEB9C"/>
          <bgColor rgb="FFFFEB9C"/>
        </patternFill>
      </fill>
      <border/>
    </dxf>
    <dxf>
      <font>
        <name val="Arial"/>
        <color rgb="FF9C0006"/>
      </font>
      <fill>
        <patternFill patternType="solid">
          <fgColor rgb="FFFFC7CE"/>
          <bgColor rgb="FFFFC7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A4" authorId="0" shapeId="0">
      <text>
        <t>Fixed ID. Do not change.</t>
      </text>
    </comment>
    <comment ref="B4" authorId="0" shapeId="0">
      <text>
        <t>Who collects this row.</t>
      </text>
    </comment>
    <comment ref="C4" authorId="0" shapeId="0">
      <text>
        <t>One of the 8 library categories.</t>
      </text>
    </comment>
    <comment ref="D4" authorId="0" shapeId="0">
      <text>
        <t>Who publishes it. Pick from the list; use "Other" + notes if missing.</t>
      </text>
    </comment>
    <comment ref="E4" authorId="0" shapeId="0">
      <text>
        <t>Database value: regulatory / accreditation / ranking / standards_body / government_policy / ingage_proposed.</t>
      </text>
    </comment>
    <comment ref="F4" authorId="0" shapeId="0">
      <text>
        <t>Mandatory / Authoritative quality framework / Good-practice standard / Intelligence signal. Supervisor confirms.</t>
      </text>
    </comment>
    <comment ref="G4" authorId="0" shapeId="0">
      <text>
        <t>Unique code, e.g. UGC-023. New version of same document = same code, new row.</t>
      </text>
    </comment>
    <comment ref="H4" authorId="0" shapeId="0">
      <text>
        <t>Copy the title exactly as printed on the document / official page.</t>
      </text>
    </comment>
    <comment ref="I4" authorId="0" shapeId="0">
      <text>
        <t>Act, Rules, Regulation, Manual, SSR/QIF/SAR, Guideline...</t>
      </text>
    </comment>
    <comment ref="J4" authorId="0" shapeId="0">
      <text>
        <t>As printed: year, edition, version no., Gazette no.</t>
      </text>
    </comment>
    <comment ref="K4" authorId="0" shapeId="0">
      <text>
        <t>Date printed on the document (dd-mmm-yyyy).</t>
      </text>
    </comment>
    <comment ref="L4" authorId="0" shapeId="0">
      <text>
        <t>Date it takes effect, if stated. Blank + note if phased.</t>
      </text>
    </comment>
    <comment ref="M4" authorId="0" shapeId="0">
      <text>
        <t>Current / Current (amended) / Superseded / Withdrawn / Draft / Not verified.</t>
      </text>
    </comment>
    <comment ref="N4" authorId="0" shapeId="0">
      <text>
        <t>Source Code + version this replaces or amends.</t>
      </text>
    </comment>
    <comment ref="O4" authorId="0" shapeId="0">
      <text>
        <t>Institution types: University, Autonomous, Affiliated, Engineering, Polytechnic, Arts &amp; Science, ITI, Health sciences, All HEIs...</t>
      </text>
    </comment>
    <comment ref="P4" authorId="0" shapeId="0">
      <text>
        <t>Only if limited to specific programmes or trades.</t>
      </text>
    </comment>
    <comment ref="Q4" authorId="0" shapeId="0">
      <text>
        <t>Official page where the document is listed.</t>
      </text>
    </comment>
    <comment ref="R4" authorId="0" shapeId="0">
      <text>
        <t>Direct link to the PDF / file on the official site.</t>
      </text>
    </comment>
    <comment ref="S4" authorId="0" shapeId="0">
      <text>
        <t>Yes only if both URLs are on the authority's own site (gov.in, nic.in, nbaind.org, nist.gov, unesco.org, iso.org...).</t>
      </text>
    </comment>
    <comment ref="T4" authorId="0" shapeId="0">
      <text>
        <t>To find / Downloaded / Found - link only / Blocked - portal/login / Licensed - link only / Not available.</t>
      </text>
    </comment>
    <comment ref="U4" authorId="0" shapeId="0">
      <text>
        <t>Where you saved it, e.g. 04_Accreditation/NBA_General_Manual_2024.pdf</t>
      </text>
    </comment>
    <comment ref="V4" authorId="0" shapeId="0">
      <text>
        <t>From file properties.</t>
      </text>
    </comment>
    <comment ref="W4" authorId="0" shapeId="0">
      <text>
        <t>PDF page count.</t>
      </text>
    </comment>
    <comment ref="X4" authorId="0" shapeId="0">
      <text>
        <t>PowerShell: Get-FileHash "&lt;file&gt;" -Algorithm SHA256  (64 characters).</t>
      </text>
    </comment>
    <comment ref="Y4" authorId="0" shapeId="0">
      <text>
        <t>Yes for ISO/IEC and other paid standards - never download those.</t>
      </text>
    </comment>
    <comment ref="Z4" authorId="0" shapeId="0">
      <text>
        <t>How often the source should be re-checked: 1, 3, 6 or 12.</t>
      </text>
    </comment>
    <comment ref="AA4" authorId="0" shapeId="0">
      <text>
        <t>For the daily watcher: web_page / rss / api / document_index / manual_upload.</t>
      </text>
    </comment>
    <comment ref="AB4" authorId="0" shapeId="0">
      <text>
        <t>Optional: IDs from the Benchmark Catalogue tab, separated by ";".</t>
      </text>
    </comment>
    <comment ref="AC4" authorId="0" shapeId="0">
      <text>
        <t>Date you completed this row.</t>
      </text>
    </comment>
    <comment ref="AD4" authorId="0" shapeId="0">
      <text>
        <t>Anything unusual: login needed, broken link, phased dates, related documents.</t>
      </text>
    </comment>
    <comment ref="AE4" authorId="0" shapeId="0">
      <text>
        <t>Where to begin searching. Not part of the final data.</t>
      </text>
    </comment>
    <comment ref="AF4" authorId="0" shapeId="0">
      <text>
        <t>Automatic. Must say OK before QA.</t>
      </text>
    </comment>
    <comment ref="AG4" authorId="0" shapeId="0">
      <text>
        <t>Supervisor only.</t>
      </text>
    </comment>
    <comment ref="AH4" authorId="0" shapeId="0">
      <text>
        <t>Supervisor only.</t>
      </text>
    </comment>
    <comment ref="AI4" authorId="0" shapeId="0">
      <text>
        <t>Supervisor only: what to fix.</t>
      </text>
    </comment>
    <comment ref="A67" authorId="0" shapeId="0">
      <text>
        <t>Worked example: every field filled the way we want it. Copy this style.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4" authorId="0" shapeId="0">
      <text>
        <t>Example line - replace with real entries.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books.toscrape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naac.gov.in/index.php/en/component/search/?searchword=Criteria%20and%20Key%20Indicators%20Annexure&amp;searchphrase=all" TargetMode="External" Id="rId1"/><Relationship Type="http://schemas.openxmlformats.org/officeDocument/2006/relationships/hyperlink" Target="https://drive.google.com/drive/folders/1Hbqu-ekfL3sVsfM-57H3KDnewAmpZAQq?usp=drive_link" TargetMode="External" Id="rId2"/><Relationship Type="http://schemas.openxmlformats.org/officeDocument/2006/relationships/hyperlink" Target="https://assessmentonline.naac.gov.in/" TargetMode="External" Id="rId3"/><Relationship Type="http://schemas.openxmlformats.org/officeDocument/2006/relationships/hyperlink" Target="https://iqac.annauniv.edu/AAA%26R/NAAC_Revised_University_Manual_Dec_2022.pdf" TargetMode="External" Id="rId4"/><Relationship Type="http://schemas.openxmlformats.org/officeDocument/2006/relationships/hyperlink" Target="https://drive.google.com/drive/folders/1Hbqu-ekfL3sVsfM-57H3KDnewAmpZAQq?usp=drive_link" TargetMode="External" Id="rId5"/><Relationship Type="http://schemas.openxmlformats.org/officeDocument/2006/relationships/hyperlink" Target="https://assessmentonline.naac.gov.in/" TargetMode="External" Id="rId6"/><Relationship Type="http://schemas.openxmlformats.org/officeDocument/2006/relationships/hyperlink" Target="https://mits.ac.in/assets/pdf/iqac/NAAC%20Autonomous_College%20Manual_29-03-2023_Updated_9-8-2023.pdf" TargetMode="External" Id="rId7"/><Relationship Type="http://schemas.openxmlformats.org/officeDocument/2006/relationships/hyperlink" Target="https://drive.google.com/drive/folders/1Hbqu-ekfL3sVsfM-57H3KDnewAmpZAQq?usp=drive_link" TargetMode="External" Id="rId8"/><Relationship Type="http://schemas.openxmlformats.org/officeDocument/2006/relationships/hyperlink" Target="https://assessmentonline.naac.gov.in/" TargetMode="External" Id="rId9"/><Relationship Type="http://schemas.openxmlformats.org/officeDocument/2006/relationships/hyperlink" Target="https://www.ramajeemahavidyalaya.edu.in/uplfile/revised_ssr.pdf" TargetMode="External" Id="rId10"/><Relationship Type="http://schemas.openxmlformats.org/officeDocument/2006/relationships/hyperlink" Target="https://drive.google.com/drive/folders/1Hbqu-ekfL3sVsfM-57H3KDnewAmpZAQq?usp=drive_link" TargetMode="External" Id="rId11"/><Relationship Type="http://schemas.openxmlformats.org/officeDocument/2006/relationships/hyperlink" Target="https://assessmentonline.naac.gov.in/" TargetMode="External" Id="rId12"/><Relationship Type="http://schemas.openxmlformats.org/officeDocument/2006/relationships/hyperlink" Target="https://tiastc.tecnia.in/naac-manuals/" TargetMode="External" Id="rId13"/><Relationship Type="http://schemas.openxmlformats.org/officeDocument/2006/relationships/hyperlink" Target="https://drive.google.com/drive/folders/1Hbqu-ekfL3sVsfM-57H3KDnewAmpZAQq?usp=drive_link" TargetMode="External" Id="rId14"/><Relationship Type="http://schemas.openxmlformats.org/officeDocument/2006/relationships/hyperlink" Target="https://assessmentonline.naac.gov.in/" TargetMode="External" Id="rId15"/><Relationship Type="http://schemas.openxmlformats.org/officeDocument/2006/relationships/hyperlink" Target="https://iqac.annauniv.edu/AAA%26R/NAAC_Revised_University_SOP_Dec_2022.pdf" TargetMode="External" Id="rId16"/><Relationship Type="http://schemas.openxmlformats.org/officeDocument/2006/relationships/hyperlink" Target="https://drive.google.com/drive/folders/1Hbqu-ekfL3sVsfM-57H3KDnewAmpZAQq?usp=drive_link" TargetMode="External" Id="rId17"/><Relationship Type="http://schemas.openxmlformats.org/officeDocument/2006/relationships/hyperlink" Target="https://assessmentonline.naac.gov.in/" TargetMode="External" Id="rId18"/><Relationship Type="http://schemas.openxmlformats.org/officeDocument/2006/relationships/hyperlink" Target="https://www.nbaind.org/Downloads/Documents" TargetMode="External" Id="rId19"/><Relationship Type="http://schemas.openxmlformats.org/officeDocument/2006/relationships/hyperlink" Target="https://www.nbaind.org/Downloads/Documents" TargetMode="External" Id="rId20"/><Relationship Type="http://schemas.openxmlformats.org/officeDocument/2006/relationships/hyperlink" Target="https://drive.google.com/drive/folders/1a1fiRcDfuN8O2-xMdYuGnhc-ITAlNAJj?usp=drive_link" TargetMode="External" Id="rId21"/><Relationship Type="http://schemas.openxmlformats.org/officeDocument/2006/relationships/hyperlink" Target="https://www.nbaind.org/Downloads/Documents" TargetMode="External" Id="rId22"/><Relationship Type="http://schemas.openxmlformats.org/officeDocument/2006/relationships/hyperlink" Target="https://www.nbaind.org/files/General_Manual_V1.0_Format_20240423170211.pdf" TargetMode="External" Id="rId23"/><Relationship Type="http://schemas.openxmlformats.org/officeDocument/2006/relationships/hyperlink" Target="https://drive.google.com/file/d/1nAVg_Y7d-ohG76D-MZme6rA1rgDleGzg/view?usp=drive_link" TargetMode="External" Id="rId24"/><Relationship Type="http://schemas.openxmlformats.org/officeDocument/2006/relationships/hyperlink" Target="https://www.nbaind.org/Downloads/Documents" TargetMode="External" Id="rId25"/><Relationship Type="http://schemas.openxmlformats.org/officeDocument/2006/relationships/hyperlink" Target="https://www.nbaind.org/files/Publication/PublicationTitles/NBA_UGEngg_Tier_II_Manual_Format_20250121123952.pdf" TargetMode="External" Id="rId26"/><Relationship Type="http://schemas.openxmlformats.org/officeDocument/2006/relationships/hyperlink" Target="https://drive.google.com/file/d/1nAVg_Y7d-ohG76D-MZme6rA1rgDleGzg/view?usp=drive_link" TargetMode="External" Id="rId27"/><Relationship Type="http://schemas.openxmlformats.org/officeDocument/2006/relationships/hyperlink" Target="https://drive.google.com/drive/folders/1pPXX8mvcFTuRihRpCImDKyImx-A1k4Ey?usp=drive_link" TargetMode="External" Id="rId28"/><Relationship Type="http://schemas.openxmlformats.org/officeDocument/2006/relationships/hyperlink" Target="https://www.nbaind.org/Downloads/Documents" TargetMode="External" Id="rId29"/><Relationship Type="http://schemas.openxmlformats.org/officeDocument/2006/relationships/hyperlink" Target="https://drive.google.com/drive/folders/1pPXX8mvcFTuRihRpCImDKyImx-A1k4Ey?usp=drive_link" TargetMode="External" Id="rId30"/><Relationship Type="http://schemas.openxmlformats.org/officeDocument/2006/relationships/hyperlink" Target="https://www.nbaind.org/Downloads/Documents" TargetMode="External" Id="rId31"/><Relationship Type="http://schemas.openxmlformats.org/officeDocument/2006/relationships/hyperlink" Target="https://drive.google.com/drive/folders/1pPXX8mvcFTuRihRpCImDKyImx-A1k4Ey?usp=drive_link" TargetMode="External" Id="rId32"/><Relationship Type="http://schemas.openxmlformats.org/officeDocument/2006/relationships/hyperlink" Target="https://www.nbaind.org/Downloads/Documents" TargetMode="External" Id="rId33"/><Relationship Type="http://schemas.openxmlformats.org/officeDocument/2006/relationships/hyperlink" Target="https://drive.google.com/drive/folders/1pPXX8mvcFTuRihRpCImDKyImx-A1k4Ey?usp=drive_link" TargetMode="External" Id="rId34"/><Relationship Type="http://schemas.openxmlformats.org/officeDocument/2006/relationships/hyperlink" Target="https://www.nbaind.org/Downloads/Documents" TargetMode="External" Id="rId35"/><Relationship Type="http://schemas.openxmlformats.org/officeDocument/2006/relationships/hyperlink" Target="https://drive.google.com/drive/folders/1pPXX8mvcFTuRihRpCImDKyImx-A1k4Ey?usp=drive_link" TargetMode="External" Id="rId36"/><Relationship Type="http://schemas.openxmlformats.org/officeDocument/2006/relationships/hyperlink" Target="https://www.nbaind.org/Downloads/Documents" TargetMode="External" Id="rId37"/><Relationship Type="http://schemas.openxmlformats.org/officeDocument/2006/relationships/hyperlink" Target="https://drive.google.com/drive/folders/1pPXX8mvcFTuRihRpCImDKyImx-A1k4Ey?usp=drive_link" TargetMode="External" Id="rId38"/><Relationship Type="http://schemas.openxmlformats.org/officeDocument/2006/relationships/hyperlink" Target="https://www.nbaind.org/Downloads/Documents" TargetMode="External" Id="rId39"/><Relationship Type="http://schemas.openxmlformats.org/officeDocument/2006/relationships/hyperlink" Target="https://www.nirfindia.org/Home/Documents" TargetMode="External" Id="rId40"/><Relationship Type="http://schemas.openxmlformats.org/officeDocument/2006/relationships/hyperlink" Target="https://www.nirfindia.org/Home/Documents" TargetMode="External" Id="rId41"/><Relationship Type="http://schemas.openxmlformats.org/officeDocument/2006/relationships/hyperlink" Target="https://drive.google.com/drive/folders/1YeYVR0csD4GIeFYpq0YxGOtX83Hnj4ya?usp=drive_link" TargetMode="External" Id="rId42"/><Relationship Type="http://schemas.openxmlformats.org/officeDocument/2006/relationships/hyperlink" Target="https://drive.google.com/drive/folders/1YeYVR0csD4GIeFYpq0YxGOtX83Hnj4ya?usp=drive_link" TargetMode="External" Id="rId43"/><Relationship Type="http://schemas.openxmlformats.org/officeDocument/2006/relationships/hyperlink" Target="https://www.nirfindia.org/Home/Documents" TargetMode="External" Id="rId44"/><Relationship Type="http://schemas.openxmlformats.org/officeDocument/2006/relationships/hyperlink" Target="https://drive.google.com/drive/folders/1YeYVR0csD4GIeFYpq0YxGOtX83Hnj4ya?usp=drive_link" TargetMode="External" Id="rId45"/><Relationship Type="http://schemas.openxmlformats.org/officeDocument/2006/relationships/hyperlink" Target="https://www.nirfindia.org/Home/Documents" TargetMode="External" Id="rId46"/><Relationship Type="http://schemas.openxmlformats.org/officeDocument/2006/relationships/hyperlink" Target="https://www.ugc.gov.in/Regulations" TargetMode="External" Id="rId47"/><Relationship Type="http://schemas.openxmlformats.org/officeDocument/2006/relationships/hyperlink" Target="https://www.ugc.gov.in/Regulations" TargetMode="External" Id="rId48"/><Relationship Type="http://schemas.openxmlformats.org/officeDocument/2006/relationships/hyperlink" Target="https://drive.google.com/drive/folders/1ZHdieeVU_fvMWe8NT_z3RLyr0nvQ5419?usp=drive_link" TargetMode="External" Id="rId49"/><Relationship Type="http://schemas.openxmlformats.org/officeDocument/2006/relationships/hyperlink" Target="https://www.ugc.gov.in/Guideline" TargetMode="External" Id="rId50"/><Relationship Type="http://schemas.openxmlformats.org/officeDocument/2006/relationships/hyperlink" Target="https://www.ugc.gov.in/Guideline" TargetMode="External" Id="rId51"/><Relationship Type="http://schemas.openxmlformats.org/officeDocument/2006/relationships/hyperlink" Target="https://drive.google.com/drive/folders/1ZHdieeVU_fvMWe8NT_z3RLyr0nvQ5419?usp=drive_link" TargetMode="External" Id="rId52"/><Relationship Type="http://schemas.openxmlformats.org/officeDocument/2006/relationships/hyperlink" Target="https://drive.google.com/drive/folders/1ZHdieeVU_fvMWe8NT_z3RLyr0nvQ5419?usp=drive_link" TargetMode="External" Id="rId53"/><Relationship Type="http://schemas.openxmlformats.org/officeDocument/2006/relationships/hyperlink" Target="https://www.ugc.gov.in/Regulations" TargetMode="External" Id="rId54"/><Relationship Type="http://schemas.openxmlformats.org/officeDocument/2006/relationships/hyperlink" Target="https://drive.google.com/drive/folders/1ZHdieeVU_fvMWe8NT_z3RLyr0nvQ5419?usp=drive_link" TargetMode="External" Id="rId55"/><Relationship Type="http://schemas.openxmlformats.org/officeDocument/2006/relationships/hyperlink" Target="https://www.ugc.gov.in/Regulations" TargetMode="External" Id="rId56"/><Relationship Type="http://schemas.openxmlformats.org/officeDocument/2006/relationships/hyperlink" Target="https://drive.google.com/drive/folders/1ZHdieeVU_fvMWe8NT_z3RLyr0nvQ5419?usp=drive_link" TargetMode="External" Id="rId57"/><Relationship Type="http://schemas.openxmlformats.org/officeDocument/2006/relationships/hyperlink" Target="https://www.ugc.gov.in/Regulations" TargetMode="External" Id="rId58"/><Relationship Type="http://schemas.openxmlformats.org/officeDocument/2006/relationships/hyperlink" Target="https://drive.google.com/drive/folders/1ZHdieeVU_fvMWe8NT_z3RLyr0nvQ5419?usp=drive_link" TargetMode="External" Id="rId59"/><Relationship Type="http://schemas.openxmlformats.org/officeDocument/2006/relationships/hyperlink" Target="https://www.ugc.gov.in/Guideline" TargetMode="External" Id="rId60"/><Relationship Type="http://schemas.openxmlformats.org/officeDocument/2006/relationships/hyperlink" Target="https://drive.google.com/file/d/1-W89tsVwlg87IXnmo9kLluhV4j9HgV1o/view?usp=drive_link" TargetMode="External" Id="rId61"/><Relationship Type="http://schemas.openxmlformats.org/officeDocument/2006/relationships/hyperlink" Target="https://www.ugc.gov.in/Guideline" TargetMode="External" Id="rId62"/><Relationship Type="http://schemas.openxmlformats.org/officeDocument/2006/relationships/hyperlink" Target="https://drive.google.com/file/d/1w24SO93KZWXoLHJePCz2k2FMgyvEW81h/view?usp=drive_link" TargetMode="External" Id="rId63"/><Relationship Type="http://schemas.openxmlformats.org/officeDocument/2006/relationships/hyperlink" Target="https://www.ugc.gov.in/Guideline" TargetMode="External" Id="rId64"/><Relationship Type="http://schemas.openxmlformats.org/officeDocument/2006/relationships/hyperlink" Target="https://drive.google.com/file/d/1zzWY39CGx8soqpcCMi32KadwmjTI8TJI/view?usp=drive_link" TargetMode="External" Id="rId65"/><Relationship Type="http://schemas.openxmlformats.org/officeDocument/2006/relationships/hyperlink" Target="https://www.ugc.gov.in/Guideline" TargetMode="External" Id="rId66"/><Relationship Type="http://schemas.openxmlformats.org/officeDocument/2006/relationships/hyperlink" Target="https://drive.google.com/drive/folders/1ZHdieeVU_fvMWe8NT_z3RLyr0nvQ5419?usp=drive_link" TargetMode="External" Id="rId67"/><Relationship Type="http://schemas.openxmlformats.org/officeDocument/2006/relationships/hyperlink" Target="https://www.ugc.gov.in/Regulations" TargetMode="External" Id="rId68"/><Relationship Type="http://schemas.openxmlformats.org/officeDocument/2006/relationships/hyperlink" Target="https://drive.google.com/drive/folders/1ZHdieeVU_fvMWe8NT_z3RLyr0nvQ5419?usp=drive_link" TargetMode="External" Id="rId69"/><Relationship Type="http://schemas.openxmlformats.org/officeDocument/2006/relationships/hyperlink" Target="https://www.ugc.gov.in/Regulations" TargetMode="External" Id="rId70"/><Relationship Type="http://schemas.openxmlformats.org/officeDocument/2006/relationships/hyperlink" Target="https://drive.google.com/drive/folders/1ZHdieeVU_fvMWe8NT_z3RLyr0nvQ5419?usp=drive_link" TargetMode="External" Id="rId71"/><Relationship Type="http://schemas.openxmlformats.org/officeDocument/2006/relationships/hyperlink" Target="https://www.ugc.gov.in/Regulations" TargetMode="External" Id="rId72"/><Relationship Type="http://schemas.openxmlformats.org/officeDocument/2006/relationships/hyperlink" Target="https://drive.google.com/drive/folders/1ZHdieeVU_fvMWe8NT_z3RLyr0nvQ5419?usp=drive_link" TargetMode="External" Id="rId73"/><Relationship Type="http://schemas.openxmlformats.org/officeDocument/2006/relationships/hyperlink" Target="https://www.ugc.gov.in/Regulations" TargetMode="External" Id="rId74"/><Relationship Type="http://schemas.openxmlformats.org/officeDocument/2006/relationships/hyperlink" Target="https://drive.google.com/drive/folders/1ZHdieeVU_fvMWe8NT_z3RLyr0nvQ5419?usp=drive_link" TargetMode="External" Id="rId75"/><Relationship Type="http://schemas.openxmlformats.org/officeDocument/2006/relationships/hyperlink" Target="https://www.ugc.gov.in/Guideline" TargetMode="External" Id="rId76"/><Relationship Type="http://schemas.openxmlformats.org/officeDocument/2006/relationships/hyperlink" Target="https://drive.google.com/drive/folders/1ZHdieeVU_fvMWe8NT_z3RLyr0nvQ5419?usp=drive_link" TargetMode="External" Id="rId77"/><Relationship Type="http://schemas.openxmlformats.org/officeDocument/2006/relationships/hyperlink" Target="https://www.ugc.gov.in/Guideline" TargetMode="External" Id="rId78"/><Relationship Type="http://schemas.openxmlformats.org/officeDocument/2006/relationships/hyperlink" Target="https://drive.google.com/drive/folders/1ZHdieeVU_fvMWe8NT_z3RLyr0nvQ5419?usp=drive_link" TargetMode="External" Id="rId79"/><Relationship Type="http://schemas.openxmlformats.org/officeDocument/2006/relationships/hyperlink" Target="https://www.ugc.gov.in/Guideline" TargetMode="External" Id="rId80"/><Relationship Type="http://schemas.openxmlformats.org/officeDocument/2006/relationships/hyperlink" Target="https://drive.google.com/drive/folders/1ZHdieeVU_fvMWe8NT_z3RLyr0nvQ5419?usp=drive_link" TargetMode="External" Id="rId81"/><Relationship Type="http://schemas.openxmlformats.org/officeDocument/2006/relationships/hyperlink" Target="https://www.ugc.gov.in/Guideline" TargetMode="External" Id="rId82"/><Relationship Type="http://schemas.openxmlformats.org/officeDocument/2006/relationships/hyperlink" Target="https://drive.google.com/drive/folders/1ZHdieeVU_fvMWe8NT_z3RLyr0nvQ5419?usp=drive_link" TargetMode="External" Id="rId83"/><Relationship Type="http://schemas.openxmlformats.org/officeDocument/2006/relationships/hyperlink" Target="https://www.ugc.gov.in/Guideline" TargetMode="External" Id="rId84"/><Relationship Type="http://schemas.openxmlformats.org/officeDocument/2006/relationships/hyperlink" Target="https://drive.google.com/drive/folders/1ZHdieeVU_fvMWe8NT_z3RLyr0nvQ5419?usp=drive_link" TargetMode="External" Id="rId85"/><Relationship Type="http://schemas.openxmlformats.org/officeDocument/2006/relationships/hyperlink" Target="https://www.ugc.gov.in/Guideline" TargetMode="External" Id="rId86"/><Relationship Type="http://schemas.openxmlformats.org/officeDocument/2006/relationships/hyperlink" Target="https://drive.google.com/drive/folders/14ZGtFyWl8JNwt1gTxEb97-n5kyx5BW1q?usp=drive_link" TargetMode="External" Id="rId87"/><Relationship Type="http://schemas.openxmlformats.org/officeDocument/2006/relationships/hyperlink" Target="https://www.education.gov.in/" TargetMode="External" Id="rId88"/><Relationship Type="http://schemas.openxmlformats.org/officeDocument/2006/relationships/hyperlink" Target="https://drive.google.com/drive/folders/12ofXhDk0-s-f4gRiPnlIKA-APC8r7P41?usp=drive_link" TargetMode="External" Id="rId89"/><Relationship Type="http://schemas.openxmlformats.org/officeDocument/2006/relationships/hyperlink" Target="https://www.ugc.gov.in/Regulations" TargetMode="External" Id="rId90"/><Relationship Type="http://schemas.openxmlformats.org/officeDocument/2006/relationships/hyperlink" Target="https://drive.google.com/drive/folders/12ofXhDk0-s-f4gRiPnlIKA-APC8r7P41?usp=drive_link" TargetMode="External" Id="rId91"/><Relationship Type="http://schemas.openxmlformats.org/officeDocument/2006/relationships/hyperlink" Target="https://www.ugc.gov.in/Regulations" TargetMode="External" Id="rId92"/><Relationship Type="http://schemas.openxmlformats.org/officeDocument/2006/relationships/hyperlink" Target="https://drive.google.com/drive/folders/12ofXhDk0-s-f4gRiPnlIKA-APC8r7P41?usp=drive_link" TargetMode="External" Id="rId93"/><Relationship Type="http://schemas.openxmlformats.org/officeDocument/2006/relationships/hyperlink" Target="https://www.ugc.gov.in/Regulations" TargetMode="External" Id="rId94"/><Relationship Type="http://schemas.openxmlformats.org/officeDocument/2006/relationships/hyperlink" Target="https://drive.google.com/drive/folders/1qh0Smf7rTkLe1WIp34b_p4HbCqyUCgir?usp=drive_link" TargetMode="External" Id="rId95"/><Relationship Type="http://schemas.openxmlformats.org/officeDocument/2006/relationships/hyperlink" Target="https://depwd.gov.in/en/document-category/acts/" TargetMode="External" Id="rId96"/><Relationship Type="http://schemas.openxmlformats.org/officeDocument/2006/relationships/hyperlink" Target="https://drive.google.com/drive/folders/1qh0Smf7rTkLe1WIp34b_p4HbCqyUCgir?usp=drive_link" TargetMode="External" Id="rId97"/><Relationship Type="http://schemas.openxmlformats.org/officeDocument/2006/relationships/hyperlink" Target="https://drive.google.com/drive/folders/1HT1E0nIgCEXzKLw9tW-JlYxAqB3q1dzg?usp=drive_link" TargetMode="External" Id="rId98"/><Relationship Type="http://schemas.openxmlformats.org/officeDocument/2006/relationships/hyperlink" Target="https://drive.google.com/drive/folders/1dNCbS_nZOuLBPwjeBywToyKJowV-KK0p?usp=drive_link" TargetMode="External" Id="rId99"/><Relationship Type="http://schemas.openxmlformats.org/officeDocument/2006/relationships/hyperlink" Target="https://drive.google.com/drive/folders/14IuvtQDAEPeddjnKBm6qR83OP-k1odET?usp=drive_link" TargetMode="External" Id="rId100"/><Relationship Type="http://schemas.openxmlformats.org/officeDocument/2006/relationships/hyperlink" Target="https://drive.google.com/drive/folders/14IuvtQDAEPeddjnKBm6qR83OP-k1odET?usp=drive_link" TargetMode="External" Id="rId101"/><Relationship Type="http://schemas.openxmlformats.org/officeDocument/2006/relationships/hyperlink" Target="https://www.ugc.gov.in/pdfnews/7771545_academic-integrity-Regulation2018.pdf" TargetMode="External" Id="rId102"/><Relationship Type="http://schemas.openxmlformats.org/officeDocument/2006/relationships/hyperlink" Target="https://drive.google.com/drive/folders/14IuvtQDAEPeddjnKBm6qR83OP-k1odET?usp=drive_link" TargetMode="External" Id="rId103"/><Relationship Type="http://schemas.openxmlformats.org/officeDocument/2006/relationships/hyperlink" Target="https://aicte.gov.in/approal-process-2024-2027" TargetMode="External" Id="rId104"/><Relationship Type="http://schemas.openxmlformats.org/officeDocument/2006/relationships/hyperlink" Target="https://drive.google.com/file/d/1Ei3WITWwS6q1YZga7toj13tfc5M2hcIl/view?usp=drive_link" TargetMode="External" Id="rId105"/><Relationship Type="http://schemas.openxmlformats.org/officeDocument/2006/relationships/hyperlink" Target="https://www.aicte-india.org/" TargetMode="External" Id="rId106"/><Relationship Type="http://schemas.openxmlformats.org/officeDocument/2006/relationships/hyperlink" Target="http://aicte.gov.in/education/model-syllabus" TargetMode="External" Id="rId107"/><Relationship Type="http://schemas.openxmlformats.org/officeDocument/2006/relationships/hyperlink" Target="http://www.aicte-india.org/content/aicte-model-curriculum-courses-ug-level-emerging-areas-0" TargetMode="External" Id="rId108"/><Relationship Type="http://schemas.openxmlformats.org/officeDocument/2006/relationships/hyperlink" Target="https://drive.google.com/file/d/1aytGuTrxCT5FrqD-tvYUpHOaA_8y0OER/view?usp=drive_link" TargetMode="External" Id="rId109"/><Relationship Type="http://schemas.openxmlformats.org/officeDocument/2006/relationships/hyperlink" Target="https://www.aicte-india.org/education/model-curriculum" TargetMode="External" Id="rId110"/><Relationship Type="http://schemas.openxmlformats.org/officeDocument/2006/relationships/hyperlink" Target="https://internship.aicte-india.org/" TargetMode="External" Id="rId111"/><Relationship Type="http://schemas.openxmlformats.org/officeDocument/2006/relationships/hyperlink" Target="https://aicte.gov.in/sites/default/files/AICTE%20Internship%20Policy.pdf" TargetMode="External" Id="rId112"/><Relationship Type="http://schemas.openxmlformats.org/officeDocument/2006/relationships/hyperlink" Target="https://drive.google.com/file/d/1jIjPpuk0dPTWFvMQpTnw2WGoTNx6heeL/view?usp=drive_link" TargetMode="External" Id="rId113"/><Relationship Type="http://schemas.openxmlformats.org/officeDocument/2006/relationships/hyperlink" Target="https://www.aicte-india.org/" TargetMode="External" Id="rId114"/><Relationship Type="http://schemas.openxmlformats.org/officeDocument/2006/relationships/hyperlink" Target="https://www.aicte.gov.in/sites/default/files/aicte-odl-online-guidelines-2021.pdf" TargetMode="External" Id="rId115"/><Relationship Type="http://schemas.openxmlformats.org/officeDocument/2006/relationships/hyperlink" Target="https://www.aicte-india.org/sites/default/files/aicte-odl-online-guidelines-2021.pdf." TargetMode="External" Id="rId116"/><Relationship Type="http://schemas.openxmlformats.org/officeDocument/2006/relationships/hyperlink" Target="https://drive.google.com/file/d/1B39ffsOUuZeDAab_b46Tc80HekXjPbGB/view?usp=drive_link" TargetMode="External" Id="rId117"/><Relationship Type="http://schemas.openxmlformats.org/officeDocument/2006/relationships/hyperlink" Target="https://www.aicte-india.org/" TargetMode="External" Id="rId118"/><Relationship Type="http://schemas.openxmlformats.org/officeDocument/2006/relationships/hyperlink" Target="https://www.aicte.gov.in/bureaus/swayam" TargetMode="External" Id="rId119"/><Relationship Type="http://schemas.openxmlformats.org/officeDocument/2006/relationships/hyperlink" Target="https://www.aicte.gov.in/bureaus/approval/ap_documents" TargetMode="External" Id="rId120"/><Relationship Type="http://schemas.openxmlformats.org/officeDocument/2006/relationships/hyperlink" Target="https://drive.google.com/file/d/1kkvFLw26eUd11sQ9fbfGvLUwb6I7-QiO/view?usp=drive_link" TargetMode="External" Id="rId121"/><Relationship Type="http://schemas.openxmlformats.org/officeDocument/2006/relationships/hyperlink" Target="https://www.aicte-india.org/" TargetMode="External" Id="rId122"/><Relationship Type="http://schemas.openxmlformats.org/officeDocument/2006/relationships/hyperlink" Target="https://dgt.gov.in/" TargetMode="External" Id="rId123"/><Relationship Type="http://schemas.openxmlformats.org/officeDocument/2006/relationships/hyperlink" Target="https://dgt.gov.in/sites/default/files/2025-12/Circular-for-Affiliation-Norms-for-ITIs-2025_0.pdf" TargetMode="External" Id="rId124"/><Relationship Type="http://schemas.openxmlformats.org/officeDocument/2006/relationships/hyperlink" Target="https://drive.google.com/drive/folders/1VEwxP1Wjc7q6hdG0iZ3h4uMgjrmBpXTY?usp=drive_link" TargetMode="External" Id="rId125"/><Relationship Type="http://schemas.openxmlformats.org/officeDocument/2006/relationships/hyperlink" Target="https://dgt.gov.in/en/guidelines-grading" TargetMode="External" Id="rId126"/><Relationship Type="http://schemas.openxmlformats.org/officeDocument/2006/relationships/hyperlink" Target="https://dgt.gov.in/en/guidelines-grading" TargetMode="External" Id="rId127"/><Relationship Type="http://schemas.openxmlformats.org/officeDocument/2006/relationships/hyperlink" Target="https://drive.google.com/drive/folders/1VEwxP1Wjc7q6hdG0iZ3h4uMgjrmBpXTY?usp=drive_link" TargetMode="External" Id="rId128"/><Relationship Type="http://schemas.openxmlformats.org/officeDocument/2006/relationships/hyperlink" Target="https://dgt.gov.in/" TargetMode="External" Id="rId129"/><Relationship Type="http://schemas.openxmlformats.org/officeDocument/2006/relationships/hyperlink" Target="https://dgt.gov.in/sites/default/files/2024-01/IT_CTS2.0_NSQF-4.pdf" TargetMode="External" Id="rId130"/><Relationship Type="http://schemas.openxmlformats.org/officeDocument/2006/relationships/hyperlink" Target="https://drive.google.com/drive/folders/1VEwxP1Wjc7q6hdG0iZ3h4uMgjrmBpXTY?usp=drive_link" TargetMode="External" Id="rId131"/><Relationship Type="http://schemas.openxmlformats.org/officeDocument/2006/relationships/hyperlink" Target="https://dgt.gov.in/" TargetMode="External" Id="rId132"/><Relationship Type="http://schemas.openxmlformats.org/officeDocument/2006/relationships/hyperlink" Target="https://ncvtmis.gov.in/" TargetMode="External" Id="rId133"/><Relationship Type="http://schemas.openxmlformats.org/officeDocument/2006/relationships/hyperlink" Target="https://www.dgt.gov.in/sites/default/files/2025-12/Circular-for-Affiliation-Norms-for-ITIs-2025.pdf" TargetMode="External" Id="rId134"/><Relationship Type="http://schemas.openxmlformats.org/officeDocument/2006/relationships/hyperlink" Target="https://drive.google.com/drive/folders/1VEwxP1Wjc7q6hdG0iZ3h4uMgjrmBpXTY?usp=drive_link" TargetMode="External" Id="rId135"/><Relationship Type="http://schemas.openxmlformats.org/officeDocument/2006/relationships/hyperlink" Target="https://dgt.gov.in/" TargetMode="External" Id="rId136"/><Relationship Type="http://schemas.openxmlformats.org/officeDocument/2006/relationships/hyperlink" Target="https://ncvet.gov.in/wp-content/uploads/2025/07/Guidelines-for-Recognition-and-Regulation-of-AAs-2025.pdf" TargetMode="External" Id="rId137"/><Relationship Type="http://schemas.openxmlformats.org/officeDocument/2006/relationships/hyperlink" Target="https://ncvet.gov.in/wp-content/uploads/2023/07/National-Skills-Qualification-Framework-notification-June-2023.pdf." TargetMode="External" Id="rId138"/><Relationship Type="http://schemas.openxmlformats.org/officeDocument/2006/relationships/hyperlink" Target="https://drive.google.com/drive/folders/12HBkMz14W3yPBq90ruXu2XekeaKSYeQc?usp=drive_link" TargetMode="External" Id="rId139"/><Relationship Type="http://schemas.openxmlformats.org/officeDocument/2006/relationships/hyperlink" Target="https://ncvet.gov.in/" TargetMode="External" Id="rId140"/><Relationship Type="http://schemas.openxmlformats.org/officeDocument/2006/relationships/hyperlink" Target="http://ncvet.gov.in/" TargetMode="External" Id="rId141"/><Relationship Type="http://schemas.openxmlformats.org/officeDocument/2006/relationships/hyperlink" Target="https://ncvet.gov.in/wp-content/uploads/2023/07/National-Skills-Qualification-Framework-notification-June-2023.pdf." TargetMode="External" Id="rId142"/><Relationship Type="http://schemas.openxmlformats.org/officeDocument/2006/relationships/hyperlink" Target="https://drive.google.com/drive/folders/12HBkMz14W3yPBq90ruXu2XekeaKSYeQc?usp=drive_link" TargetMode="External" Id="rId143"/><Relationship Type="http://schemas.openxmlformats.org/officeDocument/2006/relationships/hyperlink" Target="https://ncvet.gov.in/" TargetMode="External" Id="rId144"/><Relationship Type="http://schemas.openxmlformats.org/officeDocument/2006/relationships/hyperlink" Target="https://dsel.education.gov.in/hi/node/2174" TargetMode="External" Id="rId145"/><Relationship Type="http://schemas.openxmlformats.org/officeDocument/2006/relationships/hyperlink" Target="https://www.ugc.gov.in/pdfnews/9028476_Report-of-National-Credit-Framework.pdf" TargetMode="External" Id="rId146"/><Relationship Type="http://schemas.openxmlformats.org/officeDocument/2006/relationships/hyperlink" Target="https://drive.google.com/file/d/1PxkJpe9Pr4He2rjHhPyBCGinMubnAkZu/view?usp=drive_link" TargetMode="External" Id="rId147"/><Relationship Type="http://schemas.openxmlformats.org/officeDocument/2006/relationships/hyperlink" Target="https://www.education.gov.in/" TargetMode="External" Id="rId148"/><Relationship Type="http://schemas.openxmlformats.org/officeDocument/2006/relationships/hyperlink" Target="https://www.ugc.gov.in/pdfnews/9327451_Academic-Bank-of-Credicts-in-Higher-Education.pdf" TargetMode="External" Id="rId149"/><Relationship Type="http://schemas.openxmlformats.org/officeDocument/2006/relationships/hyperlink" Target="https://www.ugc.ac.in/pdfnews/1767992_Notice-Academic-Bank-of-Credits.pdf." TargetMode="External" Id="rId150"/><Relationship Type="http://schemas.openxmlformats.org/officeDocument/2006/relationships/hyperlink" Target="https://drive.google.com/drive/folders/1nqxPG1mthj13ImYXo-i-pIt2mTNq4EKv?usp=drive_link" TargetMode="External" Id="rId151"/><Relationship Type="http://schemas.openxmlformats.org/officeDocument/2006/relationships/hyperlink" Target="https://www.abc.gov.in/" TargetMode="External" Id="rId152"/><Relationship Type="http://schemas.openxmlformats.org/officeDocument/2006/relationships/hyperlink" Target="https://www.msde.gov.in/static/uploads/2024/04/Guidelines-for-NAPS.pdf" TargetMode="External" Id="rId153"/><Relationship Type="http://schemas.openxmlformats.org/officeDocument/2006/relationships/hyperlink" Target="https://naps-cdn.s3.ap-south-1.amazonaws.com/NAPS+2.0_Guidelines_25-08-2023.pdf" TargetMode="External" Id="rId154"/><Relationship Type="http://schemas.openxmlformats.org/officeDocument/2006/relationships/hyperlink" Target="https://drive.google.com/drive/folders/1nqxPG1mthj13ImYXo-i-pIt2mTNq4EKv?usp=drive_link" TargetMode="External" Id="rId155"/><Relationship Type="http://schemas.openxmlformats.org/officeDocument/2006/relationships/hyperlink" Target="https://www.meity.gov.in/" TargetMode="External" Id="rId156"/><Relationship Type="http://schemas.openxmlformats.org/officeDocument/2006/relationships/hyperlink" Target="https://www.meity.gov.in/static/uploads/2024/02/Digital-Personal-Data-Protection-Act-2023.pdf" TargetMode="External" Id="rId157"/><Relationship Type="http://schemas.openxmlformats.org/officeDocument/2006/relationships/hyperlink" Target="https://drive.google.com/file/d/1ZUkFMo0SfO9_RIf5LXE56N34JC2Fzkfk/view?usp=drive_link" TargetMode="External" Id="rId158"/><Relationship Type="http://schemas.openxmlformats.org/officeDocument/2006/relationships/hyperlink" Target="https://www.meity.gov.in/documents/act-and-policies/digital-personal-data-protection-rules-2025-gDOxUjMtQWa?pageTitle=Digital-Personal-Data-Protection-Rules-2025" TargetMode="External" Id="rId159"/><Relationship Type="http://schemas.openxmlformats.org/officeDocument/2006/relationships/hyperlink" Target="https://www.meity.gov.in/static/uploads/2025/11/53450e6e5dc0bfa85ebd78686cadad39.pdf" TargetMode="External" Id="rId160"/><Relationship Type="http://schemas.openxmlformats.org/officeDocument/2006/relationships/hyperlink" Target="https://drive.google.com/file/d/18GdmjQVBQMcfnLYsdOaFAyd4XZann990/view?usp=drive_link" TargetMode="External" Id="rId161"/><Relationship Type="http://schemas.openxmlformats.org/officeDocument/2006/relationships/hyperlink" Target="https://www.cert-in.org.in/Directions70B.jsp" TargetMode="External" Id="rId162"/><Relationship Type="http://schemas.openxmlformats.org/officeDocument/2006/relationships/hyperlink" Target="https://www.cert-in.org.in/PDF/CERT-In_Directions_70B_28.04.2022.pdf" TargetMode="External" Id="rId163"/><Relationship Type="http://schemas.openxmlformats.org/officeDocument/2006/relationships/hyperlink" Target="https://drive.google.com/file/d/1bs-UisINM2JedRwQC2dOKYB0i6-YG-o0/view?usp=drive_link" TargetMode="External" Id="rId164"/><Relationship Type="http://schemas.openxmlformats.org/officeDocument/2006/relationships/hyperlink" Target="https://drive.google.com/drive/folders/1ao8GOFB3Ut-eWjgK-QtW9vSMehgahohw?usp=drive_link" TargetMode="External" Id="rId165"/><Relationship Type="http://schemas.openxmlformats.org/officeDocument/2006/relationships/hyperlink" Target="https://www.cert-in.org.in/" TargetMode="External" Id="rId166"/><Relationship Type="http://schemas.openxmlformats.org/officeDocument/2006/relationships/hyperlink" Target="https://www.indiacode.nic.in/handle/123456789/13683." TargetMode="External" Id="rId167"/><Relationship Type="http://schemas.openxmlformats.org/officeDocument/2006/relationships/hyperlink" Target="https://www.indiacode.nic.in/handle/123456789/13683." TargetMode="External" Id="rId168"/><Relationship Type="http://schemas.openxmlformats.org/officeDocument/2006/relationships/hyperlink" Target="https://drive.google.com/drive/folders/1qh0Smf7rTkLe1WIp34b_p4HbCqyUCgir?usp=drive_link" TargetMode="External" Id="rId169"/><Relationship Type="http://schemas.openxmlformats.org/officeDocument/2006/relationships/hyperlink" Target="https://www.meity.gov.in/static/uploads/2024/03/Policy-Document.pdf" TargetMode="External" Id="rId170"/><Relationship Type="http://schemas.openxmlformats.org/officeDocument/2006/relationships/hyperlink" Target="https://www.meity.gov.in/static/uploads/2024/03/Policy-Document.pdf" TargetMode="External" Id="rId171"/><Relationship Type="http://schemas.openxmlformats.org/officeDocument/2006/relationships/hyperlink" Target="https://drive.google.com/drive/folders/13b7YJ0039A9yb3grKv4IQaGO0n0J5jC7?usp=drive_link" TargetMode="External" Id="rId172"/><Relationship Type="http://schemas.openxmlformats.org/officeDocument/2006/relationships/hyperlink" Target="https://www.meity.gov.in/" TargetMode="External" Id="rId173"/><Relationship Type="http://schemas.openxmlformats.org/officeDocument/2006/relationships/hyperlink" Target="https://www.unesco.org/en/articles/unesco-governments-must-quickly-regulate-generative-ai-schools?hub=701" TargetMode="External" Id="rId174"/><Relationship Type="http://schemas.openxmlformats.org/officeDocument/2006/relationships/hyperlink" Target="https://www.unesco.org/en/articles/unesco-governments-must-quickly-regulate-generative-ai-schools?hub=701" TargetMode="External" Id="rId175"/><Relationship Type="http://schemas.openxmlformats.org/officeDocument/2006/relationships/hyperlink" Target="https://drive.google.com/file/d/1UXCEPezfN0_1EjxTwopvq_GbRaflXXX6/view?usp=drive_link" TargetMode="External" Id="rId176"/><Relationship Type="http://schemas.openxmlformats.org/officeDocument/2006/relationships/hyperlink" Target="https://www.unesco.org/en/digital-education/g77-competencies" TargetMode="External" Id="rId177"/><Relationship Type="http://schemas.openxmlformats.org/officeDocument/2006/relationships/hyperlink" Target="https://unesdoc.unesco.org/ark:/48223/pf0000391104" TargetMode="External" Id="rId178"/><Relationship Type="http://schemas.openxmlformats.org/officeDocument/2006/relationships/hyperlink" Target="https://unesdoc.unesco.org/ark:/48223/pf0000391104" TargetMode="External" Id="rId179"/><Relationship Type="http://schemas.openxmlformats.org/officeDocument/2006/relationships/hyperlink" Target="https://drive.google.com/file/d/1sGxwuRbsY0ht_Wq1_5dY7qOpv5jLKONR/view?usp=drive_link" TargetMode="External" Id="rId180"/><Relationship Type="http://schemas.openxmlformats.org/officeDocument/2006/relationships/hyperlink" Target="https://www.unesco.org/en/articles/ai-competency-framework-teachers?hub=365" TargetMode="External" Id="rId181"/><Relationship Type="http://schemas.openxmlformats.org/officeDocument/2006/relationships/hyperlink" Target="https://unesdoc.unesco.org/ark:/48223/pf0000391105" TargetMode="External" Id="rId182"/><Relationship Type="http://schemas.openxmlformats.org/officeDocument/2006/relationships/hyperlink" Target="https://unesdoc.unesco.org/ark:/48223/pf0000391105" TargetMode="External" Id="rId183"/><Relationship Type="http://schemas.openxmlformats.org/officeDocument/2006/relationships/hyperlink" Target="https://drive.google.com/file/d/1YKkWoDnY4x_9HR2i8sgzWT7llKABwz7_/view?usp=drive_link" TargetMode="External" Id="rId184"/><Relationship Type="http://schemas.openxmlformats.org/officeDocument/2006/relationships/hyperlink" Target="https://www.unesco.org/en/digital-education/g77-competencies" TargetMode="External" Id="rId185"/><Relationship Type="http://schemas.openxmlformats.org/officeDocument/2006/relationships/hyperlink" Target="https://www.nist.gov/itl/ai-risk-management-framework/ai-risk-management-framework-resources" TargetMode="External" Id="rId186"/><Relationship Type="http://schemas.openxmlformats.org/officeDocument/2006/relationships/hyperlink" Target="https://nvlpubs.nist.gov/nistpubs/ai/NIST.AI.100-1.pdf" TargetMode="External" Id="rId187"/><Relationship Type="http://schemas.openxmlformats.org/officeDocument/2006/relationships/hyperlink" Target="https://drive.google.com/file/d/1ubl6F4JGtiJti2tHyVAuilwjmfA9DwWe/view?usp=drive_link" TargetMode="External" Id="rId188"/><Relationship Type="http://schemas.openxmlformats.org/officeDocument/2006/relationships/hyperlink" Target="https://www.nist.gov/itl/ai-risk-management-framework/ai-risk-management-framework-resources" TargetMode="External" Id="rId189"/><Relationship Type="http://schemas.openxmlformats.org/officeDocument/2006/relationships/hyperlink" Target="https://nvlpubs.nist.gov/nistpubs/ai/NIST.AI.600-1.pdf" TargetMode="External" Id="rId190"/><Relationship Type="http://schemas.openxmlformats.org/officeDocument/2006/relationships/hyperlink" Target="https://drive.google.com/file/d/1ubl6F4JGtiJti2tHyVAuilwjmfA9DwWe/view?usp=drive_link" TargetMode="External" Id="rId191"/><Relationship Type="http://schemas.openxmlformats.org/officeDocument/2006/relationships/hyperlink" Target="https://airc.nist.gov/airmf-resources/playbook/" TargetMode="External" Id="rId192"/><Relationship Type="http://schemas.openxmlformats.org/officeDocument/2006/relationships/hyperlink" Target="https://airc.nist.gov/airmf-resources/playbook/" TargetMode="External" Id="rId193"/><Relationship Type="http://schemas.openxmlformats.org/officeDocument/2006/relationships/hyperlink" Target="https://drive.google.com/file/d/1R7l_Kq_yH--gkDDOqo0wPLRrb41ziTwh/view?usp=drive_link" TargetMode="External" Id="rId194"/><Relationship Type="http://schemas.openxmlformats.org/officeDocument/2006/relationships/hyperlink" Target="https://www.nist.gov/itl/ai-risk-management-framework/ai-risk-management-framework-resources" TargetMode="External" Id="rId195"/><Relationship Type="http://schemas.openxmlformats.org/officeDocument/2006/relationships/hyperlink" Target="https://www.iso.org/artificial-intelligence/ai-management-systems" TargetMode="External" Id="rId196"/><Relationship Type="http://schemas.openxmlformats.org/officeDocument/2006/relationships/hyperlink" Target="https://drive.google.com/file/d/1TJWoDICER0I5XAMzrTX4yhSAQxxjQ2US/view?usp=drive_link" TargetMode="External" Id="rId197"/><Relationship Type="http://schemas.openxmlformats.org/officeDocument/2006/relationships/hyperlink" Target="https://www.iso.org/publication/PUB200420.html" TargetMode="External" Id="rId198"/><Relationship Type="http://schemas.openxmlformats.org/officeDocument/2006/relationships/hyperlink" Target="https://drive.google.com/file/d/1XqYmAbwFnspv8QFFK4FGjmJK4j3Wjgdt/view?usp=drive_link" TargetMode="External" Id="rId199"/><Relationship Type="http://schemas.openxmlformats.org/officeDocument/2006/relationships/hyperlink" Target="https://drive.google.com/file/d/1MfiP_J7v76XC9ueGUKRVzdWmbW8YlEIL/view?usp=drive_link" TargetMode="External" Id="rId200"/><Relationship Type="http://schemas.openxmlformats.org/officeDocument/2006/relationships/hyperlink" Target="https://www.iso.org/" TargetMode="External" Id="rId201"/><Relationship Type="http://schemas.openxmlformats.org/officeDocument/2006/relationships/hyperlink" Target="https://drive.google.com/file/d/1z_jbTsc666Bpvsjpnqd1PCQe0TtWPw-l/view?usp=drive_link" TargetMode="External" Id="rId202"/><Relationship Type="http://schemas.openxmlformats.org/officeDocument/2006/relationships/hyperlink" Target="https://www.iso.org/" TargetMode="External" Id="rId203"/><Relationship Type="http://schemas.openxmlformats.org/officeDocument/2006/relationships/hyperlink" Target="https://drive.google.com/file/d/1Sm-vlyeyk3gfuvp9s67JYArYekoL2TFl/view?usp=drive_link" TargetMode="External" Id="rId204"/><Relationship Type="http://schemas.openxmlformats.org/officeDocument/2006/relationships/hyperlink" Target="https://www.iso.org/" TargetMode="External" Id="rId205"/><Relationship Type="http://schemas.openxmlformats.org/officeDocument/2006/relationships/hyperlink" Target="https://drive.google.com/file/d/16V9ZAZ9q1rQi9bJMztPkLraXcUz9ygrs/view?usp=drive_link" TargetMode="External" Id="rId206"/><Relationship Type="http://schemas.openxmlformats.org/officeDocument/2006/relationships/hyperlink" Target="https://www.iso.org/" TargetMode="External" Id="rId207"/><Relationship Type="http://schemas.openxmlformats.org/officeDocument/2006/relationships/hyperlink" Target="https://static.pib.gov.in/WriteReadData/specificdocs/documents/2025/nov/doc2025115685601.pdf" TargetMode="External" Id="rId208"/><Relationship Type="http://schemas.openxmlformats.org/officeDocument/2006/relationships/hyperlink" Target="https://static.pib.gov.in/WriteReadData/specificdocs/documents/2025/nov/doc2025115685601.pdf" TargetMode="External" Id="rId209"/><Relationship Type="http://schemas.openxmlformats.org/officeDocument/2006/relationships/hyperlink" Target="https://drive.google.com/file/d/1spGtRr33yzTFY3IWOLdkl9zjyHq0TY0W/view?usp=drive_link" TargetMode="External" Id="rId210"/><Relationship Type="http://schemas.openxmlformats.org/officeDocument/2006/relationships/hyperlink" Target="https://www.meity.gov.in/ministry/our-groups/details/ai-emerging-technologies-division-QN5EDOtQWa" TargetMode="External" Id="rId211"/><Relationship Type="http://schemas.openxmlformats.org/officeDocument/2006/relationships/hyperlink" Target="https://www.nirfindia.org/Home/Documents" TargetMode="External" Id="rId212"/><Relationship Type="http://schemas.openxmlformats.org/officeDocument/2006/relationships/hyperlink" Target="https://www.nirfindia.org/nirfpdfcdn/2025/pdf/Report/IR2025_Report.pdf" TargetMode="External" Id="rId213"/><Relationship Type="http://schemas.openxmlformats.org/officeDocument/2006/relationships/hyperlink" Target="https://drive.google.com/drive/folders/181nrl4suQzeNY7o_OTwpkqvrKSrrKbAw?usp=drive_link" TargetMode="External" Id="rId214"/><Relationship Type="http://schemas.openxmlformats.org/officeDocument/2006/relationships/hyperlink" Target="https://www.nirfindia.org/Home/Documents" TargetMode="External" Id="rId215"/><Relationship Type="http://schemas.openxmlformats.org/officeDocument/2006/relationships/hyperlink" Target="https://beeindia.gov.in/" TargetMode="External" Id="rId216"/><Relationship Type="http://schemas.openxmlformats.org/officeDocument/2006/relationships/hyperlink" Target="https://beeindia.gov.in/WriteReadData/L45218/1734930710.pdf" TargetMode="External" Id="rId217"/><Relationship Type="http://schemas.openxmlformats.org/officeDocument/2006/relationships/hyperlink" Target="https://drive.google.com/file/d/1DxbgGtHG6Xd-S6SCC41GVahC2JITu2Yv/view?usp=drive_link" TargetMode="External" Id="rId218"/><Relationship Type="http://schemas.openxmlformats.org/officeDocument/2006/relationships/hyperlink" Target="https://www.dst.gov.in/node/7836" TargetMode="External" Id="rId219"/><Relationship Type="http://schemas.openxmlformats.org/officeDocument/2006/relationships/hyperlink" Target="https://www.dst.gov.in/node/7836" TargetMode="External" Id="rId220"/><Relationship Type="http://schemas.openxmlformats.org/officeDocument/2006/relationships/hyperlink" Target="https://drive.google.com/drive/folders/1-60y-KXY6J6Rzjjf6PGWKb7L4DstYgbe?usp=drive_link" TargetMode="External" Id="rId221"/><Relationship Type="http://schemas.openxmlformats.org/officeDocument/2006/relationships/hyperlink" Target="https://dst.gov.in/national-quantum-mission-nqm" TargetMode="External" Id="rId222"/><Relationship Type="http://schemas.openxmlformats.org/officeDocument/2006/relationships/hyperlink" Target="https://www.w3.org/TR/WCAG22/" TargetMode="External" Id="rId223"/><Relationship Type="http://schemas.openxmlformats.org/officeDocument/2006/relationships/hyperlink" Target="https://www.w3.org/TR/WCAG22/" TargetMode="External" Id="rId224"/><Relationship Type="http://schemas.openxmlformats.org/officeDocument/2006/relationships/hyperlink" Target="https://drive.google.com/file/d/1h9_mZycTBPqt3Yh8mfEfcAuP-mScNSWI/view?usp=drive_link" TargetMode="External" Id="rId225"/><Relationship Type="http://schemas.openxmlformats.org/officeDocument/2006/relationships/hyperlink" Target="https://www.w3.org/WAI/" TargetMode="External" Id="rId226"/><Relationship Type="http://schemas.openxmlformats.org/officeDocument/2006/relationships/hyperlink" Target="https://www.imsglobal.org/spec/ob/v3p0/" TargetMode="External" Id="rId227"/><Relationship Type="http://schemas.openxmlformats.org/officeDocument/2006/relationships/hyperlink" Target="https://www.imsglobal.org/spec/ob/v3p0/" TargetMode="External" Id="rId228"/><Relationship Type="http://schemas.openxmlformats.org/officeDocument/2006/relationships/hyperlink" Target="https://drive.google.com/file/d/1uLWpJnjEnr3UdNXkrN25jJReXkfocHE_/view?usp=drive_link" TargetMode="External" Id="rId229"/><Relationship Type="http://schemas.openxmlformats.org/officeDocument/2006/relationships/hyperlink" Target="https://www.1edtech.org/" TargetMode="External" Id="rId230"/><Relationship Type="http://schemas.openxmlformats.org/officeDocument/2006/relationships/hyperlink" Target="https://www.imsglobal.org/spec/lti/v1p3/" TargetMode="External" Id="rId231"/><Relationship Type="http://schemas.openxmlformats.org/officeDocument/2006/relationships/hyperlink" Target="https://www.imsglobal.org/spec/lti/v1p3/" TargetMode="External" Id="rId232"/><Relationship Type="http://schemas.openxmlformats.org/officeDocument/2006/relationships/hyperlink" Target="https://drive.google.com/file/d/16IaLyXz5imY4fKaap3oZPjYGsJGc4thp/view?usp=drive_link" TargetMode="External" Id="rId233"/><Relationship Type="http://schemas.openxmlformats.org/officeDocument/2006/relationships/hyperlink" Target="https://www.1edtech.org/" TargetMode="External" Id="rId234"/><Relationship Type="http://schemas.openxmlformats.org/officeDocument/2006/relationships/hyperlink" Target="https://www.khronos.org/search/?cx=017055583490642512057%3A_ak1bpok_no&amp;cof=FORID%3A9&amp;q=OpenXR+specification" TargetMode="External" Id="rId235"/><Relationship Type="http://schemas.openxmlformats.org/officeDocument/2006/relationships/hyperlink" Target="https://registry.khronos.org/OpenXR/specs/1.1/html/xrspec.html" TargetMode="External" Id="rId236"/><Relationship Type="http://schemas.openxmlformats.org/officeDocument/2006/relationships/hyperlink" Target="https://drive.google.com/file/d/1nEubkFeLM-z94SwhgM_m1yh67kQFWnME/view?usp=drive_link" TargetMode="External" Id="rId237"/><Relationship Type="http://schemas.openxmlformats.org/officeDocument/2006/relationships/hyperlink" Target="https://www.khronos.org/openxr/" TargetMode="External" Id="rId23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ugc.gov.in/Regulations" TargetMode="External" Id="rId1"/><Relationship Type="http://schemas.openxmlformats.org/officeDocument/2006/relationships/hyperlink" Target="https://www.ugc.gov.in/Guideline" TargetMode="External" Id="rId2"/><Relationship Type="http://schemas.openxmlformats.org/officeDocument/2006/relationships/hyperlink" Target="https://assessmentonline.naac.gov.in/" TargetMode="External" Id="rId3"/><Relationship Type="http://schemas.openxmlformats.org/officeDocument/2006/relationships/hyperlink" Target="https://www.nbaind.org/Downloads/Documents" TargetMode="External" Id="rId4"/><Relationship Type="http://schemas.openxmlformats.org/officeDocument/2006/relationships/hyperlink" Target="https://www.nirfindia.org/Home/Documents" TargetMode="External" Id="rId5"/><Relationship Type="http://schemas.openxmlformats.org/officeDocument/2006/relationships/hyperlink" Target="https://www.education.gov.in/" TargetMode="External" Id="rId6"/><Relationship Type="http://schemas.openxmlformats.org/officeDocument/2006/relationships/hyperlink" Target="https://www.aicte-india.org/education/model-curriculum" TargetMode="External" Id="rId7"/><Relationship Type="http://schemas.openxmlformats.org/officeDocument/2006/relationships/hyperlink" Target="https://dgt.gov.in/en/guidelines-grading" TargetMode="External" Id="rId8"/><Relationship Type="http://schemas.openxmlformats.org/officeDocument/2006/relationships/hyperlink" Target="https://ncvet.gov.in/" TargetMode="External" Id="rId9"/><Relationship Type="http://schemas.openxmlformats.org/officeDocument/2006/relationships/hyperlink" Target="https://www.abc.gov.in/" TargetMode="External" Id="rId10"/><Relationship Type="http://schemas.openxmlformats.org/officeDocument/2006/relationships/hyperlink" Target="https://www.meity.gov.in/documents/act-and-policies/digital-personal-data-protection-rules-2025-gDOxUjMtQWa?pageTitle=Digital-Personal-Data-Protection-Rules-2025" TargetMode="External" Id="rId11"/><Relationship Type="http://schemas.openxmlformats.org/officeDocument/2006/relationships/hyperlink" Target="https://www.cert-in.org.in/Directions70B.jsp" TargetMode="External" Id="rId12"/><Relationship Type="http://schemas.openxmlformats.org/officeDocument/2006/relationships/hyperlink" Target="https://www.cert-in.org.in/" TargetMode="External" Id="rId13"/><Relationship Type="http://schemas.openxmlformats.org/officeDocument/2006/relationships/hyperlink" Target="https://www.meity.gov.in/ministry/our-groups/details/ai-emerging-technologies-division-QN5EDOtQWa" TargetMode="External" Id="rId14"/><Relationship Type="http://schemas.openxmlformats.org/officeDocument/2006/relationships/hyperlink" Target="https://www.nist.gov/itl/ai-risk-management-framework/ai-risk-management-framework-resources" TargetMode="External" Id="rId15"/><Relationship Type="http://schemas.openxmlformats.org/officeDocument/2006/relationships/hyperlink" Target="https://www.unesco.org/en/digital-education/g77-competencies" TargetMode="External" Id="rId16"/><Relationship Type="http://schemas.openxmlformats.org/officeDocument/2006/relationships/hyperlink" Target="https://www.iso.org/artificial-intelligence/ai-management-systems" TargetMode="External" Id="rId17"/><Relationship Type="http://schemas.openxmlformats.org/officeDocument/2006/relationships/hyperlink" Target="https://dst.gov.in/national-quantum-mission-nqm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6.57" customWidth="1" style="35" min="1" max="1"/>
    <col width="30" customWidth="1" style="35" min="2" max="2"/>
    <col width="100" customWidth="1" style="35" min="3" max="3"/>
    <col width="8.710000000000001" customWidth="1" style="35" min="4" max="26"/>
  </cols>
  <sheetData>
    <row r="1" ht="14.25" customHeight="1" s="35">
      <c r="A1" s="34" t="n"/>
      <c r="B1" s="3" t="inlineStr">
        <is>
          <t>InGage Source Library - Intern Collection Guide</t>
        </is>
      </c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</row>
    <row r="2" ht="30" customHeight="1" s="35">
      <c r="A2" s="34" t="n"/>
      <c r="B2" s="4" t="inlineStr">
        <is>
          <t>Goal: find every official source document, record exact details, save the official file, and prove it is the official version. This sheet becomes the database Source Library.</t>
        </is>
      </c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</row>
    <row r="3" ht="14.25" customHeight="1" s="35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</row>
    <row r="4" ht="14.25" customHeight="1" s="35">
      <c r="A4" s="10" t="inlineStr">
        <is>
          <t>books.toscrape.com</t>
        </is>
      </c>
      <c r="B4" s="11" t="inlineStr">
        <is>
          <t>Your daily routine</t>
        </is>
      </c>
      <c r="C4" s="12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</row>
    <row r="5" ht="14.25" customHeight="1" s="35">
      <c r="A5" s="34" t="n"/>
      <c r="B5" s="13" t="inlineStr">
        <is>
          <t>Step 1</t>
        </is>
      </c>
      <c r="C5" s="15" t="inlineStr">
        <is>
          <t>Open the Source Register tab and filter "Assigned To" to your name. Work top to bottom.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</row>
    <row r="6" ht="14.25" customHeight="1" s="35">
      <c r="A6" s="34" t="n"/>
      <c r="B6" s="13" t="inlineStr">
        <is>
          <t>Step 2</t>
        </is>
      </c>
      <c r="C6" s="15" t="inlineStr">
        <is>
          <t>For each row: start from "Start Here (hint)" or the Watch Feeds tab, find the document on the OFFICIAL site.</t>
        </is>
      </c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4.25" customHeight="1" s="35">
      <c r="A7" s="34" t="n"/>
      <c r="B7" s="13" t="inlineStr">
        <is>
          <t>Step 3</t>
        </is>
      </c>
      <c r="C7" s="15" t="inlineStr">
        <is>
          <t>Download the file in your browser. Save it in the shared folder under the category folder (e.g. 04_Accreditation). Name: Authority_Short_Title_Year.pdf, e.g. UGC_PhD_Regulations_2022.pdf</t>
        </is>
      </c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 ht="14.25" customHeight="1" s="35">
      <c r="A8" s="34" t="n"/>
      <c r="B8" s="13" t="inlineStr">
        <is>
          <t>Step 4</t>
        </is>
      </c>
      <c r="C8" s="15" t="inlineStr">
        <is>
          <t>Fill every blue column. Get the SHA-256 in PowerShell: Get-FileHash "D:\path\file.pdf" -Algorithm SHA256</t>
        </is>
      </c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</row>
    <row r="9" ht="14.25" customHeight="1" s="35">
      <c r="A9" s="34" t="n"/>
      <c r="B9" s="13" t="inlineStr">
        <is>
          <t>Step 5</t>
        </is>
      </c>
      <c r="C9" s="15" t="inlineStr">
        <is>
          <t>Keep going until "Row Check" says OK. Then the supervisor verifies it (orange columns).</t>
        </is>
      </c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4.25" customHeight="1" s="35">
      <c r="A10" s="34" t="n"/>
      <c r="B10" s="13" t="inlineStr">
        <is>
          <t>Step 6</t>
        </is>
      </c>
      <c r="C10" s="15" t="inlineStr">
        <is>
          <t>Found more documents (amendments, other institution types, programmes)? Add a NEW row at the bottom for each one. Use the next free Row ID.</t>
        </is>
      </c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 ht="14.25" customHeight="1" s="35">
      <c r="A11" s="34" t="n"/>
      <c r="B11" s="13" t="inlineStr">
        <is>
          <t>Step 7</t>
        </is>
      </c>
      <c r="C11" s="15" t="inlineStr">
        <is>
          <t>End of day: add one line to the Daily Log tab (rows done, hours, blockers).</t>
        </is>
      </c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 ht="14.25" customHeight="1" s="35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4.25" customHeight="1" s="35">
      <c r="A13" s="34" t="n"/>
      <c r="B13" s="11" t="inlineStr">
        <is>
          <t>Rules - read carefully</t>
        </is>
      </c>
      <c r="C13" s="12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 ht="14.25" customHeight="1" s="35">
      <c r="A14" s="34" t="n"/>
      <c r="B14" s="13" t="inlineStr">
        <is>
          <t>Official sites only</t>
        </is>
      </c>
      <c r="C14" s="15" t="inlineStr">
        <is>
          <t>Download only from the authority's own website (ugc.gov.in, naac.gov.in, nbaind.org, aicte-india.org, dgt.gov.in, nirfindia.org, meity.gov.in, cert-in.org.in, indiacode.nic.in, nist.gov, unesco.org...). Never from Scribd, coaching sites, blogs or Google Drive copies.</t>
        </is>
      </c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 ht="14.25" customHeight="1" s="35">
      <c r="A15" s="34" t="n"/>
      <c r="B15" s="13" t="inlineStr">
        <is>
          <t>Collect by hand</t>
        </is>
      </c>
      <c r="C15" s="15" t="inlineStr">
        <is>
          <t>Use a normal browser. Do not run scraping scripts or bulk downloaders - these sites block them (that is why 6 downloads failed in v0.1). Never try to get around a login, CAPTCHA or block.</t>
        </is>
      </c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4.25" customHeight="1" s="35">
      <c r="A16" s="34" t="n"/>
      <c r="B16" s="13" t="inlineStr">
        <is>
          <t>Login or blocked?</t>
        </is>
      </c>
      <c r="C16" s="15" t="inlineStr">
        <is>
          <t>Set Collection Status to "Blocked - portal/login", fill the listing URL, explain in Notes, and tell the supervisor in the Daily Log. Do not create accounts.</t>
        </is>
      </c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 ht="14.25" customHeight="1" s="35">
      <c r="A17" s="34" t="n"/>
      <c r="B17" s="13" t="inlineStr">
        <is>
          <t>Licensed standards</t>
        </is>
      </c>
      <c r="C17" s="15" t="inlineStr">
        <is>
          <t>ISO/IEC and other paid standards: record the official page, edition and title only. Set "Licensed - link only". Never download or copy their text.</t>
        </is>
      </c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14.25" customHeight="1" s="35">
      <c r="A18" s="34" t="n"/>
      <c r="B18" s="13" t="inlineStr">
        <is>
          <t>One row = one version</t>
        </is>
      </c>
      <c r="C18" s="15" t="inlineStr">
        <is>
          <t>A new edition or an amendment is a NEW row with the same Source Code and a different Version. Fill "Supersedes / Amends". Never overwrite or delete an older row.</t>
        </is>
      </c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 ht="14.25" customHeight="1" s="35">
      <c r="A19" s="34" t="n"/>
      <c r="B19" s="13" t="inlineStr">
        <is>
          <t>Exact, not guessed</t>
        </is>
      </c>
      <c r="C19" s="15" t="inlineStr">
        <is>
          <t>Titles, versions and dates must be copied from the document itself. If unsure, leave Current Status "Not verified" and explain in Notes.</t>
        </is>
      </c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 ht="14.25" customHeight="1" s="35">
      <c r="A20" s="34" t="n"/>
      <c r="B20" s="13" t="inlineStr">
        <is>
          <t>Source Role</t>
        </is>
      </c>
      <c r="C20" s="15" t="inlineStr">
        <is>
          <t>Pre-filled as a suggestion. Do not change it without asking - the manager decides which sources are Mandatory vs guidance, so a market report is never mistaken for a legal requirement.</t>
        </is>
      </c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 ht="14.25" customHeight="1" s="35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 ht="14.25" customHeight="1" s="35">
      <c r="A22" s="34" t="n"/>
      <c r="B22" s="11" t="inlineStr">
        <is>
          <t>Colour legend</t>
        </is>
      </c>
      <c r="C22" s="12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 ht="14.25" customHeight="1" s="35">
      <c r="A23" s="34" t="n"/>
      <c r="B23" s="13" t="inlineStr">
        <is>
          <t>Blue header</t>
        </is>
      </c>
      <c r="C23" s="15" t="inlineStr">
        <is>
          <t>Intern fills these columns.</t>
        </is>
      </c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 ht="14.25" customHeight="1" s="35">
      <c r="A24" s="34" t="n"/>
      <c r="B24" s="13" t="inlineStr">
        <is>
          <t>Grey header</t>
        </is>
      </c>
      <c r="C24" s="15" t="inlineStr">
        <is>
          <t>Automatic or hint - do not edit (Row ID, Start Here, Row Check).</t>
        </is>
      </c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 ht="14.25" customHeight="1" s="35">
      <c r="A25" s="34" t="n"/>
      <c r="B25" s="13" t="inlineStr">
        <is>
          <t>Orange header</t>
        </is>
      </c>
      <c r="C25" s="15" t="inlineStr">
        <is>
          <t>Supervisor only (QA Status, QA By, QA Comment).</t>
        </is>
      </c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 ht="14.25" customHeight="1" s="35">
      <c r="A26" s="34" t="n"/>
      <c r="B26" s="13" t="inlineStr">
        <is>
          <t>Green row</t>
        </is>
      </c>
      <c r="C26" s="15" t="inlineStr">
        <is>
          <t>Worked example (DATA-001, DPDP Act). Copy its style.</t>
        </is>
      </c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 ht="14.25" customHeight="1" s="35">
      <c r="A27" s="34" t="n"/>
      <c r="B27" s="13" t="inlineStr">
        <is>
          <t>Row Check</t>
        </is>
      </c>
      <c r="C27" s="15" t="inlineStr">
        <is>
          <t>Green OK = complete. Yellow = something missing (it tells you what). Grey = not started.</t>
        </is>
      </c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 ht="14.25" customHeight="1" s="35">
      <c r="A28" s="34" t="n"/>
      <c r="B28" s="13" t="inlineStr">
        <is>
          <t>Red Source Code</t>
        </is>
      </c>
      <c r="C28" s="15" t="inlineStr">
        <is>
          <t>Same code and version entered twice - remove the duplicate.</t>
        </is>
      </c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 ht="14.25" customHeight="1" s="35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 ht="14.25" customHeight="1" s="35">
      <c r="A30" s="34" t="n"/>
      <c r="B30" s="11" t="inlineStr">
        <is>
          <t>Tabs</t>
        </is>
      </c>
      <c r="C30" s="12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 ht="14.25" customHeight="1" s="35">
      <c r="A31" s="34" t="n"/>
      <c r="B31" s="13" t="inlineStr">
        <is>
          <t>Source Register</t>
        </is>
      </c>
      <c r="C31" s="15" t="inlineStr">
        <is>
          <t>Main work sheet. Hover a column header to see what to enter.</t>
        </is>
      </c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 ht="14.25" customHeight="1" s="35">
      <c r="A32" s="34" t="n"/>
      <c r="B32" s="13" t="inlineStr">
        <is>
          <t>Progress</t>
        </is>
      </c>
      <c r="C32" s="15" t="inlineStr">
        <is>
          <t>Automatic counts per intern and per category.</t>
        </is>
      </c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 ht="14.25" customHeight="1" s="35">
      <c r="A33" s="34" t="n"/>
      <c r="B33" s="13" t="inlineStr">
        <is>
          <t>Watch Feeds</t>
        </is>
      </c>
      <c r="C33" s="15" t="inlineStr">
        <is>
          <t>Official register pages to search from. Record "Last Checked" when you visit one.</t>
        </is>
      </c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</row>
    <row r="34" ht="14.25" customHeight="1" s="35">
      <c r="A34" s="34" t="n"/>
      <c r="B34" s="13" t="inlineStr">
        <is>
          <t>Benchmark Catalogue</t>
        </is>
      </c>
      <c r="C34" s="15" t="inlineStr">
        <is>
          <t>The 60 benchmarks - optional, for "Related Benchmark IDs".</t>
        </is>
      </c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</row>
    <row r="35" ht="14.25" customHeight="1" s="35">
      <c r="A35" s="34" t="n"/>
      <c r="B35" s="13" t="inlineStr">
        <is>
          <t>Daily Log</t>
        </is>
      </c>
      <c r="C35" s="15" t="inlineStr">
        <is>
          <t>One line per intern per day.</t>
        </is>
      </c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</row>
    <row r="36" ht="14.25" customHeight="1" s="35">
      <c r="A36" s="34" t="n"/>
      <c r="B36" s="13" t="inlineStr">
        <is>
          <t>Lists</t>
        </is>
      </c>
      <c r="C36" s="15" t="inlineStr">
        <is>
          <t>Dropdown values. Rename "Intern A / Intern B" here and in the register before starting.</t>
        </is>
      </c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</row>
    <row r="37" ht="14.25" customHeight="1" s="35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</row>
    <row r="38" ht="14.25" customHeight="1" s="35">
      <c r="A38" s="34" t="n"/>
      <c r="B38" s="11" t="inlineStr">
        <is>
          <t>Pre-filled rows</t>
        </is>
      </c>
      <c r="C38" s="12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</row>
    <row r="39" ht="30" customHeight="1" s="35">
      <c r="A39" s="34" t="n"/>
      <c r="B39" s="4" t="inlineStr">
        <is>
          <t>89 starter rows come from the manager's Source Pack v0.2, the v0.1 manifest and the "complete library" brief. 13 are already downloaded (size, pages and SHA-256 computed from the manager's files) - only dates, version and status still need checking from the document.</t>
        </is>
      </c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</row>
    <row r="40" ht="14.25" customHeight="1" s="35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</row>
    <row r="41" ht="14.25" customHeight="1" s="35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</row>
    <row r="42" ht="14.25" customHeight="1" s="35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 ht="14.25" customHeight="1" s="35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 ht="14.25" customHeight="1" s="35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4.25" customHeight="1" s="35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4.25" customHeight="1" s="35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4.25" customHeight="1" s="35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4.25" customHeight="1" s="35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 ht="14.25" customHeight="1" s="35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 ht="14.25" customHeight="1" s="35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 ht="14.25" customHeight="1" s="35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 ht="14.25" customHeight="1" s="35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 ht="14.25" customHeight="1" s="35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 ht="14.25" customHeight="1" s="35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 ht="14.25" customHeight="1" s="35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 ht="14.25" customHeight="1" s="35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4.25" customHeight="1" s="35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 ht="14.25" customHeight="1" s="35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 ht="14.25" customHeight="1" s="35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 ht="14.25" customHeight="1" s="35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 ht="14.25" customHeight="1" s="35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 ht="14.25" customHeight="1" s="35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 ht="14.25" customHeight="1" s="35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 ht="14.25" customHeight="1" s="35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 ht="14.25" customHeight="1" s="35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 ht="14.25" customHeight="1" s="35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4.25" customHeight="1" s="35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 ht="14.25" customHeight="1" s="35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 ht="14.25" customHeight="1" s="35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 ht="14.25" customHeight="1" s="35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 ht="14.25" customHeight="1" s="35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 ht="14.25" customHeight="1" s="35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 ht="14.25" customHeight="1" s="35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 ht="14.25" customHeight="1" s="35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 ht="14.25" customHeight="1" s="35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4.25" customHeight="1" s="35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 ht="14.25" customHeight="1" s="35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 ht="14.25" customHeight="1" s="35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 ht="14.25" customHeight="1" s="35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 ht="14.25" customHeight="1" s="35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 ht="14.25" customHeight="1" s="35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 ht="14.25" customHeight="1" s="35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 ht="14.25" customHeight="1" s="35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 ht="14.25" customHeight="1" s="35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 ht="14.25" customHeight="1" s="35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 ht="14.25" customHeight="1" s="35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 ht="14.25" customHeight="1" s="35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4.25" customHeight="1" s="35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 ht="14.25" customHeight="1" s="35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 ht="14.25" customHeight="1" s="35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 ht="14.25" customHeight="1" s="35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 ht="14.25" customHeight="1" s="35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 ht="14.25" customHeight="1" s="35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 ht="14.25" customHeight="1" s="35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 ht="14.25" customHeight="1" s="3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 ht="14.25" customHeight="1" s="35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 ht="14.25" customHeight="1" s="35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 ht="14.25" customHeight="1" s="35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 ht="14.25" customHeight="1" s="35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4.25" customHeight="1" s="35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 ht="14.25" customHeight="1" s="35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 ht="14.25" customHeight="1" s="35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 ht="14.25" customHeight="1" s="35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 ht="14.25" customHeight="1" s="35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 ht="14.25" customHeight="1" s="35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 ht="14.25" customHeight="1" s="35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 ht="14.25" customHeight="1" s="35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 ht="14.25" customHeight="1" s="35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4.25" customHeight="1" s="35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 ht="14.25" customHeight="1" s="35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 ht="14.25" customHeight="1" s="35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 ht="14.25" customHeight="1" s="35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 ht="14.25" customHeight="1" s="35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 ht="14.25" customHeight="1" s="35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 ht="14.25" customHeight="1" s="35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 ht="14.25" customHeight="1" s="35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 ht="14.25" customHeight="1" s="35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 ht="14.25" customHeight="1" s="35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 ht="14.25" customHeight="1" s="35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 ht="14.25" customHeight="1" s="35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 ht="14.25" customHeight="1" s="35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 ht="14.25" customHeight="1" s="35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 ht="14.25" customHeight="1" s="35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 ht="14.25" customHeight="1" s="35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 ht="14.25" customHeight="1" s="35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 ht="14.25" customHeight="1" s="35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 ht="14.25" customHeight="1" s="35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 ht="14.25" customHeight="1" s="35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 ht="14.25" customHeight="1" s="35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 ht="14.25" customHeight="1" s="35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 ht="14.25" customHeight="1" s="35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 ht="14.25" customHeight="1" s="35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 ht="14.25" customHeight="1" s="35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 ht="14.25" customHeight="1" s="35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 ht="14.25" customHeight="1" s="35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4.25" customHeight="1" s="35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 ht="14.25" customHeight="1" s="35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 ht="14.25" customHeight="1" s="35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 ht="14.25" customHeight="1" s="35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 ht="14.25" customHeight="1" s="35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 ht="14.25" customHeight="1" s="35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 ht="14.25" customHeight="1" s="35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 ht="14.25" customHeight="1" s="35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 ht="14.25" customHeight="1" s="35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 ht="14.25" customHeight="1" s="35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 ht="14.25" customHeight="1" s="35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 ht="14.25" customHeight="1" s="35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 ht="14.25" customHeight="1" s="35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4.25" customHeight="1" s="35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 ht="14.25" customHeight="1" s="35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 ht="14.25" customHeight="1" s="35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 ht="14.25" customHeight="1" s="35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 ht="14.25" customHeight="1" s="35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 ht="14.25" customHeight="1" s="35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 ht="14.25" customHeight="1" s="35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 ht="14.25" customHeight="1" s="35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 ht="14.25" customHeight="1" s="35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 ht="14.25" customHeight="1" s="35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 ht="14.25" customHeight="1" s="35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 ht="14.25" customHeight="1" s="35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 ht="14.25" customHeight="1" s="35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4.25" customHeight="1" s="35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 ht="14.25" customHeight="1" s="35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 ht="14.25" customHeight="1" s="35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 ht="14.25" customHeight="1" s="35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 ht="14.25" customHeight="1" s="35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 ht="14.25" customHeight="1" s="35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 ht="14.25" customHeight="1" s="35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 ht="14.25" customHeight="1" s="35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 ht="14.25" customHeight="1" s="35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 ht="14.25" customHeight="1" s="35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 ht="14.25" customHeight="1" s="35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 ht="14.25" customHeight="1" s="35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 ht="14.25" customHeight="1" s="35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 ht="14.25" customHeight="1" s="35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 ht="14.25" customHeight="1" s="35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 ht="14.25" customHeight="1" s="35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 ht="14.25" customHeight="1" s="35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 ht="14.25" customHeight="1" s="35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 ht="14.25" customHeight="1" s="35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 ht="14.25" customHeight="1" s="35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 ht="14.25" customHeight="1" s="35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 ht="14.25" customHeight="1" s="35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 ht="14.25" customHeight="1" s="35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 ht="14.25" customHeight="1" s="35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 ht="14.25" customHeight="1" s="35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 ht="14.25" customHeight="1" s="35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 ht="14.25" customHeight="1" s="35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 ht="14.25" customHeight="1" s="35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 ht="14.25" customHeight="1" s="35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 ht="14.25" customHeight="1" s="35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 ht="14.25" customHeight="1" s="35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 ht="14.25" customHeight="1" s="35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 ht="14.25" customHeight="1" s="35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 ht="14.25" customHeight="1" s="35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 ht="14.25" customHeight="1" s="35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 ht="14.25" customHeight="1" s="35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 ht="14.25" customHeight="1" s="35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 ht="14.25" customHeight="1" s="35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 ht="14.25" customHeight="1" s="35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 ht="14.25" customHeight="1" s="35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 ht="14.25" customHeight="1" s="35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4.25" customHeight="1" s="35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 ht="14.25" customHeight="1" s="35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 ht="14.25" customHeight="1" s="35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 ht="14.25" customHeight="1" s="35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 ht="14.25" customHeight="1" s="35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 ht="14.25" customHeight="1" s="35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 ht="14.25" customHeight="1" s="35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 ht="14.25" customHeight="1" s="35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 ht="14.25" customHeight="1" s="35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 ht="14.25" customHeight="1" s="35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 ht="14.25" customHeight="1" s="35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 ht="14.25" customHeight="1" s="35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 ht="14.25" customHeight="1" s="35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 ht="14.25" customHeight="1" s="35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 ht="14.25" customHeight="1" s="35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 ht="14.25" customHeight="1" s="35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 ht="14.25" customHeight="1" s="35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 ht="14.25" customHeight="1" s="35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 ht="14.25" customHeight="1" s="35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 ht="14.25" customHeight="1" s="35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 ht="14.25" customHeight="1" s="35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 ht="14.25" customHeight="1" s="35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 ht="14.25" customHeight="1" s="35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 ht="14.25" customHeight="1" s="35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 ht="14.25" customHeight="1" s="35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 ht="14.25" customHeight="1" s="35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 ht="14.25" customHeight="1" s="35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 ht="14.25" customHeight="1" s="35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 ht="14.25" customHeight="1" s="35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 ht="14.25" customHeight="1" s="35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 ht="14.25" customHeight="1" s="35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 ht="14.25" customHeight="1" s="35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 ht="14.25" customHeight="1" s="35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 ht="14.25" customHeight="1" s="35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 ht="14.25" customHeight="1" s="35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 ht="14.25" customHeight="1" s="35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 ht="14.25" customHeight="1" s="35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 ht="14.25" customHeight="1" s="35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 ht="14.25" customHeight="1" s="35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 ht="14.25" customHeight="1" s="35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 ht="14.25" customHeight="1" s="35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 ht="14.25" customHeight="1" s="35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 ht="14.25" customHeight="1" s="35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 ht="14.25" customHeight="1" s="35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 ht="14.25" customHeight="1" s="35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 ht="14.25" customHeight="1" s="35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 ht="14.25" customHeight="1" s="35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 ht="14.25" customHeight="1" s="35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 ht="14.25" customHeight="1" s="35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 ht="14.25" customHeight="1" s="35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 ht="14.25" customHeight="1" s="35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 ht="14.25" customHeight="1" s="35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 ht="14.25" customHeight="1" s="35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 ht="14.25" customHeight="1" s="35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 ht="14.25" customHeight="1" s="35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 ht="14.25" customHeight="1" s="35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 ht="14.25" customHeight="1" s="35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 ht="14.25" customHeight="1" s="35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 ht="14.25" customHeight="1" s="35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 ht="14.25" customHeight="1" s="35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 ht="14.25" customHeight="1" s="35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 ht="14.25" customHeight="1" s="35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 ht="14.25" customHeight="1" s="35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 ht="14.25" customHeight="1" s="35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 ht="14.25" customHeight="1" s="35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 ht="14.25" customHeight="1" s="35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 ht="14.25" customHeight="1" s="35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 ht="14.25" customHeight="1" s="35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 ht="14.25" customHeight="1" s="35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 ht="14.25" customHeight="1" s="35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 ht="14.25" customHeight="1" s="35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 ht="14.25" customHeight="1" s="35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 ht="14.25" customHeight="1" s="35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 ht="14.25" customHeight="1" s="35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 ht="14.25" customHeight="1" s="35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 ht="14.25" customHeight="1" s="35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 ht="14.25" customHeight="1" s="35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 ht="14.25" customHeight="1" s="35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 ht="14.25" customHeight="1" s="35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 ht="14.25" customHeight="1" s="35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 ht="14.25" customHeight="1" s="35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 ht="14.25" customHeight="1" s="35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 ht="14.25" customHeight="1" s="35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 ht="14.25" customHeight="1" s="35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 ht="14.25" customHeight="1" s="35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 ht="14.25" customHeight="1" s="35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 ht="14.25" customHeight="1" s="35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 ht="14.25" customHeight="1" s="35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 ht="14.25" customHeight="1" s="35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 ht="14.25" customHeight="1" s="35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 ht="14.25" customHeight="1" s="35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 ht="14.25" customHeight="1" s="35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 ht="14.25" customHeight="1" s="35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 ht="14.25" customHeight="1" s="35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 ht="14.25" customHeight="1" s="35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 ht="14.25" customHeight="1" s="35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 ht="14.25" customHeight="1" s="35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 ht="14.25" customHeight="1" s="35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 ht="14.25" customHeight="1" s="35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 ht="14.25" customHeight="1" s="35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 ht="14.25" customHeight="1" s="35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 ht="14.25" customHeight="1" s="35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 ht="14.25" customHeight="1" s="35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 ht="14.25" customHeight="1" s="35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 ht="14.25" customHeight="1" s="35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 ht="14.25" customHeight="1" s="35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 ht="14.25" customHeight="1" s="35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 ht="14.25" customHeight="1" s="35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 ht="14.25" customHeight="1" s="35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 ht="14.25" customHeight="1" s="35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 ht="14.25" customHeight="1" s="35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 ht="14.25" customHeight="1" s="35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 ht="14.25" customHeight="1" s="35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 ht="14.25" customHeight="1" s="35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 ht="14.25" customHeight="1" s="35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 ht="14.25" customHeight="1" s="35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 ht="14.25" customHeight="1" s="35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 ht="14.25" customHeight="1" s="35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 ht="14.25" customHeight="1" s="35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 ht="14.25" customHeight="1" s="35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 ht="14.25" customHeight="1" s="35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 ht="14.25" customHeight="1" s="35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 ht="14.25" customHeight="1" s="35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 ht="14.25" customHeight="1" s="35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 ht="14.25" customHeight="1" s="35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 ht="14.25" customHeight="1" s="35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 ht="14.25" customHeight="1" s="35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 ht="14.25" customHeight="1" s="35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 ht="14.25" customHeight="1" s="35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 ht="14.25" customHeight="1" s="35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 ht="14.25" customHeight="1" s="35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 ht="14.25" customHeight="1" s="35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 ht="14.25" customHeight="1" s="35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 ht="14.25" customHeight="1" s="35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 ht="14.25" customHeight="1" s="35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 ht="14.25" customHeight="1" s="35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 ht="14.25" customHeight="1" s="35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 ht="14.25" customHeight="1" s="35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 ht="14.25" customHeight="1" s="35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 ht="14.25" customHeight="1" s="35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 ht="14.25" customHeight="1" s="35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 ht="14.25" customHeight="1" s="35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 ht="14.25" customHeight="1" s="35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 ht="14.25" customHeight="1" s="35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 ht="14.25" customHeight="1" s="35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 ht="14.25" customHeight="1" s="35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 ht="14.25" customHeight="1" s="35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 ht="14.25" customHeight="1" s="35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 ht="14.25" customHeight="1" s="35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 ht="14.25" customHeight="1" s="35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 ht="14.25" customHeight="1" s="35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 ht="14.25" customHeight="1" s="35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 ht="14.25" customHeight="1" s="35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 ht="14.25" customHeight="1" s="35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 ht="14.25" customHeight="1" s="35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 ht="14.25" customHeight="1" s="35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 ht="14.25" customHeight="1" s="35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 ht="14.25" customHeight="1" s="35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 ht="14.25" customHeight="1" s="35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 ht="14.25" customHeight="1" s="35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 ht="14.25" customHeight="1" s="35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 ht="14.25" customHeight="1" s="35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 ht="14.25" customHeight="1" s="35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 ht="14.25" customHeight="1" s="35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 ht="14.25" customHeight="1" s="35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 ht="14.25" customHeight="1" s="35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 ht="14.25" customHeight="1" s="35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 ht="14.25" customHeight="1" s="35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 ht="14.25" customHeight="1" s="35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 ht="14.25" customHeight="1" s="35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 ht="14.25" customHeight="1" s="35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 ht="14.25" customHeight="1" s="35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 ht="14.25" customHeight="1" s="35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 ht="14.25" customHeight="1" s="35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 ht="14.25" customHeight="1" s="35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 ht="14.25" customHeight="1" s="35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 ht="14.25" customHeight="1" s="35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 ht="14.25" customHeight="1" s="35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 ht="14.25" customHeight="1" s="35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 ht="14.25" customHeight="1" s="35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 ht="14.25" customHeight="1" s="35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 ht="14.25" customHeight="1" s="35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 ht="14.25" customHeight="1" s="35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 ht="14.25" customHeight="1" s="35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 ht="14.25" customHeight="1" s="35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 ht="14.25" customHeight="1" s="35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 ht="14.25" customHeight="1" s="35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 ht="14.25" customHeight="1" s="35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 ht="14.25" customHeight="1" s="35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 ht="14.25" customHeight="1" s="35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 ht="14.25" customHeight="1" s="35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 ht="14.25" customHeight="1" s="35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 ht="14.25" customHeight="1" s="35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 ht="14.25" customHeight="1" s="35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 ht="14.25" customHeight="1" s="35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 ht="14.25" customHeight="1" s="35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 ht="14.25" customHeight="1" s="35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 ht="14.25" customHeight="1" s="35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 ht="14.25" customHeight="1" s="35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 ht="14.25" customHeight="1" s="35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 ht="14.25" customHeight="1" s="35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 ht="14.25" customHeight="1" s="35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 ht="14.25" customHeight="1" s="3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 ht="14.25" customHeight="1" s="35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 ht="14.25" customHeight="1" s="35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 ht="14.25" customHeight="1" s="35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 ht="14.25" customHeight="1" s="35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 ht="14.25" customHeight="1" s="35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 ht="14.25" customHeight="1" s="35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 ht="14.25" customHeight="1" s="35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 ht="14.25" customHeight="1" s="35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 ht="14.25" customHeight="1" s="35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 ht="14.25" customHeight="1" s="3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 ht="14.25" customHeight="1" s="35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 ht="14.25" customHeight="1" s="35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 ht="14.25" customHeight="1" s="35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 ht="14.25" customHeight="1" s="35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 ht="14.25" customHeight="1" s="35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 ht="14.25" customHeight="1" s="35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 ht="14.25" customHeight="1" s="35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 ht="14.25" customHeight="1" s="35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 ht="14.25" customHeight="1" s="35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 ht="14.25" customHeight="1" s="3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 ht="14.25" customHeight="1" s="35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 ht="14.25" customHeight="1" s="35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 ht="14.25" customHeight="1" s="35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 ht="14.25" customHeight="1" s="35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 ht="14.25" customHeight="1" s="35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 ht="14.25" customHeight="1" s="35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 ht="14.25" customHeight="1" s="35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 ht="14.25" customHeight="1" s="35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 ht="14.25" customHeight="1" s="35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 ht="14.25" customHeight="1" s="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 ht="14.25" customHeight="1" s="35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 ht="14.25" customHeight="1" s="35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 ht="14.25" customHeight="1" s="35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 ht="14.25" customHeight="1" s="35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 ht="14.25" customHeight="1" s="35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 ht="14.25" customHeight="1" s="35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 ht="14.25" customHeight="1" s="35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 ht="14.25" customHeight="1" s="35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 ht="14.25" customHeight="1" s="35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 ht="14.25" customHeight="1" s="3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 ht="14.25" customHeight="1" s="35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 ht="14.25" customHeight="1" s="35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 ht="14.25" customHeight="1" s="35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 ht="14.25" customHeight="1" s="35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 ht="14.25" customHeight="1" s="35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 ht="14.25" customHeight="1" s="35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 ht="14.25" customHeight="1" s="35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 ht="14.25" customHeight="1" s="35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 ht="14.25" customHeight="1" s="35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 ht="14.25" customHeight="1" s="3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 ht="14.25" customHeight="1" s="35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 ht="14.25" customHeight="1" s="35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 ht="14.25" customHeight="1" s="35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 ht="14.25" customHeight="1" s="35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 ht="14.25" customHeight="1" s="35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 ht="14.25" customHeight="1" s="35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 ht="14.25" customHeight="1" s="35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 ht="14.25" customHeight="1" s="35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 ht="14.25" customHeight="1" s="35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 ht="14.25" customHeight="1" s="3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4.25" customHeight="1" s="35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4.25" customHeight="1" s="35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4.25" customHeight="1" s="35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4.25" customHeight="1" s="35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4.25" customHeight="1" s="35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4.25" customHeight="1" s="35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4.25" customHeight="1" s="35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4.25" customHeight="1" s="35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4.25" customHeight="1" s="35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4.25" customHeight="1" s="3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4.25" customHeight="1" s="35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4.25" customHeight="1" s="35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4.25" customHeight="1" s="35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4.25" customHeight="1" s="35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4.25" customHeight="1" s="35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4.25" customHeight="1" s="35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4.25" customHeight="1" s="35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4.25" customHeight="1" s="35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4.25" customHeight="1" s="35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4.25" customHeight="1" s="3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4.25" customHeight="1" s="35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4.25" customHeight="1" s="35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4.25" customHeight="1" s="35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4.25" customHeight="1" s="35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4.25" customHeight="1" s="35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4.25" customHeight="1" s="35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4.25" customHeight="1" s="35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4.25" customHeight="1" s="35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4.25" customHeight="1" s="35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4.25" customHeight="1" s="3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4.25" customHeight="1" s="35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4.25" customHeight="1" s="35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4.25" customHeight="1" s="35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4.25" customHeight="1" s="35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4.25" customHeight="1" s="35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4.25" customHeight="1" s="35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4.25" customHeight="1" s="35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4.25" customHeight="1" s="35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4.25" customHeight="1" s="35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4.25" customHeight="1" s="3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4.25" customHeight="1" s="35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4.25" customHeight="1" s="35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4.25" customHeight="1" s="35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4.25" customHeight="1" s="35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4.25" customHeight="1" s="35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4.25" customHeight="1" s="35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4.25" customHeight="1" s="35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4.25" customHeight="1" s="35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4.25" customHeight="1" s="35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4.25" customHeight="1" s="3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4.25" customHeight="1" s="35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4.25" customHeight="1" s="35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4.25" customHeight="1" s="35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4.25" customHeight="1" s="35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4.25" customHeight="1" s="35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4.25" customHeight="1" s="35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4.25" customHeight="1" s="35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4.25" customHeight="1" s="35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4.25" customHeight="1" s="35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4.25" customHeight="1" s="3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4.25" customHeight="1" s="35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4.25" customHeight="1" s="35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4.25" customHeight="1" s="35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4.25" customHeight="1" s="35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4.25" customHeight="1" s="35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4.25" customHeight="1" s="35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4.25" customHeight="1" s="35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4.25" customHeight="1" s="35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4.25" customHeight="1" s="35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4.25" customHeight="1" s="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4.25" customHeight="1" s="35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4.25" customHeight="1" s="35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4.25" customHeight="1" s="35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4.25" customHeight="1" s="35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4.25" customHeight="1" s="35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4.25" customHeight="1" s="35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4.25" customHeight="1" s="35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4.25" customHeight="1" s="35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4.25" customHeight="1" s="35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4.25" customHeight="1" s="3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4.25" customHeight="1" s="35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4.25" customHeight="1" s="35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4.25" customHeight="1" s="35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4.25" customHeight="1" s="35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4.25" customHeight="1" s="35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4.25" customHeight="1" s="35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4.25" customHeight="1" s="35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4.25" customHeight="1" s="35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4.25" customHeight="1" s="35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4.25" customHeight="1" s="3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4.25" customHeight="1" s="35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4.25" customHeight="1" s="35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4.25" customHeight="1" s="35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4.25" customHeight="1" s="35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4.25" customHeight="1" s="35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4.25" customHeight="1" s="35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4.25" customHeight="1" s="35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4.25" customHeight="1" s="35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4.25" customHeight="1" s="35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4.25" customHeight="1" s="3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4.25" customHeight="1" s="35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4.25" customHeight="1" s="35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4.25" customHeight="1" s="35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4.25" customHeight="1" s="35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4.25" customHeight="1" s="35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4.25" customHeight="1" s="35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4.25" customHeight="1" s="35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4.25" customHeight="1" s="35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4.25" customHeight="1" s="35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4.25" customHeight="1" s="3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4.25" customHeight="1" s="35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4.25" customHeight="1" s="35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4.25" customHeight="1" s="35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4.25" customHeight="1" s="35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4.25" customHeight="1" s="35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4.25" customHeight="1" s="35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4.25" customHeight="1" s="35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4.25" customHeight="1" s="35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4.25" customHeight="1" s="35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4.25" customHeight="1" s="3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4.25" customHeight="1" s="35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4.25" customHeight="1" s="35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4.25" customHeight="1" s="35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4.25" customHeight="1" s="35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4.25" customHeight="1" s="35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4.25" customHeight="1" s="35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4.25" customHeight="1" s="35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4.25" customHeight="1" s="35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4.25" customHeight="1" s="35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4.25" customHeight="1" s="3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4.25" customHeight="1" s="35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4.25" customHeight="1" s="35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4.25" customHeight="1" s="35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4.25" customHeight="1" s="35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4.25" customHeight="1" s="35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4.25" customHeight="1" s="35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4.25" customHeight="1" s="35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4.25" customHeight="1" s="35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4.25" customHeight="1" s="35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4.25" customHeight="1" s="3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4.25" customHeight="1" s="35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4.25" customHeight="1" s="35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4.25" customHeight="1" s="35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4.25" customHeight="1" s="35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4.25" customHeight="1" s="35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4.25" customHeight="1" s="35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4.25" customHeight="1" s="35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4.25" customHeight="1" s="35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4.25" customHeight="1" s="35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4.25" customHeight="1" s="3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4.25" customHeight="1" s="35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4.25" customHeight="1" s="35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4.25" customHeight="1" s="35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4.25" customHeight="1" s="35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4.25" customHeight="1" s="35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4.25" customHeight="1" s="35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4.25" customHeight="1" s="35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4.25" customHeight="1" s="35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4.25" customHeight="1" s="35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4.25" customHeight="1" s="3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4.25" customHeight="1" s="35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4.25" customHeight="1" s="35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4.25" customHeight="1" s="35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4.25" customHeight="1" s="35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4.25" customHeight="1" s="35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4.25" customHeight="1" s="35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4.25" customHeight="1" s="35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4.25" customHeight="1" s="35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4.25" customHeight="1" s="35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4.25" customHeight="1" s="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4.25" customHeight="1" s="35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4.25" customHeight="1" s="35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4.25" customHeight="1" s="35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4.25" customHeight="1" s="35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4.25" customHeight="1" s="35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4.25" customHeight="1" s="35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4.25" customHeight="1" s="35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4.25" customHeight="1" s="35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4.25" customHeight="1" s="35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4.25" customHeight="1" s="3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4.25" customHeight="1" s="35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4.25" customHeight="1" s="35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4.25" customHeight="1" s="35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4.25" customHeight="1" s="35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4.25" customHeight="1" s="35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4.25" customHeight="1" s="35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4.25" customHeight="1" s="35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4.25" customHeight="1" s="35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4.25" customHeight="1" s="35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4.25" customHeight="1" s="3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4.25" customHeight="1" s="35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4.25" customHeight="1" s="35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4.25" customHeight="1" s="35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4.25" customHeight="1" s="35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4.25" customHeight="1" s="35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4.25" customHeight="1" s="35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4.25" customHeight="1" s="35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4.25" customHeight="1" s="35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4.25" customHeight="1" s="35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4.25" customHeight="1" s="3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4.25" customHeight="1" s="35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4.25" customHeight="1" s="35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4.25" customHeight="1" s="35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4.25" customHeight="1" s="35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4.25" customHeight="1" s="35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4.25" customHeight="1" s="35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4.25" customHeight="1" s="35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4.25" customHeight="1" s="35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4.25" customHeight="1" s="35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4.25" customHeight="1" s="3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4.25" customHeight="1" s="35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4.25" customHeight="1" s="35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4.25" customHeight="1" s="35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4.25" customHeight="1" s="35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4.25" customHeight="1" s="35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4.25" customHeight="1" s="35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4.25" customHeight="1" s="35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4.25" customHeight="1" s="35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4.25" customHeight="1" s="35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4.25" customHeight="1" s="3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4.25" customHeight="1" s="35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4.25" customHeight="1" s="35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4.25" customHeight="1" s="35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4.25" customHeight="1" s="35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4.25" customHeight="1" s="35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4.25" customHeight="1" s="35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4.25" customHeight="1" s="35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4.25" customHeight="1" s="35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4.25" customHeight="1" s="35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4.25" customHeight="1" s="3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4.25" customHeight="1" s="35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4.25" customHeight="1" s="35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4.25" customHeight="1" s="35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4.25" customHeight="1" s="35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4.25" customHeight="1" s="35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4.25" customHeight="1" s="35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4.25" customHeight="1" s="35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4.25" customHeight="1" s="35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4.25" customHeight="1" s="35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4.25" customHeight="1" s="3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4.25" customHeight="1" s="35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4.25" customHeight="1" s="35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4.25" customHeight="1" s="35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4.25" customHeight="1" s="35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4.25" customHeight="1" s="35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4.25" customHeight="1" s="35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4.25" customHeight="1" s="35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4.25" customHeight="1" s="35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4.25" customHeight="1" s="35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4.25" customHeight="1" s="3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4.25" customHeight="1" s="35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4.25" customHeight="1" s="35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4.25" customHeight="1" s="35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4.25" customHeight="1" s="35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4.25" customHeight="1" s="35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4.25" customHeight="1" s="35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4.25" customHeight="1" s="35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4.25" customHeight="1" s="35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4.25" customHeight="1" s="35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4.25" customHeight="1" s="3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4.25" customHeight="1" s="35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4.25" customHeight="1" s="35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4.25" customHeight="1" s="35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4.25" customHeight="1" s="35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4.25" customHeight="1" s="35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4.25" customHeight="1" s="35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4.25" customHeight="1" s="35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4.25" customHeight="1" s="35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4.25" customHeight="1" s="35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4.25" customHeight="1" s="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4.25" customHeight="1" s="35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4.25" customHeight="1" s="35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4.25" customHeight="1" s="35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4.25" customHeight="1" s="35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4.25" customHeight="1" s="35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4.25" customHeight="1" s="35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4.25" customHeight="1" s="35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4.25" customHeight="1" s="35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4.25" customHeight="1" s="35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4.25" customHeight="1" s="3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4.25" customHeight="1" s="35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4.25" customHeight="1" s="35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4.25" customHeight="1" s="35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4.25" customHeight="1" s="35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4.25" customHeight="1" s="35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4.25" customHeight="1" s="35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4.25" customHeight="1" s="35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4.25" customHeight="1" s="35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4.25" customHeight="1" s="35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4.25" customHeight="1" s="3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4.25" customHeight="1" s="35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4.25" customHeight="1" s="35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4.25" customHeight="1" s="35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4.25" customHeight="1" s="35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4.25" customHeight="1" s="35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4.25" customHeight="1" s="35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4.25" customHeight="1" s="35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4.25" customHeight="1" s="35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4.25" customHeight="1" s="35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4.25" customHeight="1" s="3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4.25" customHeight="1" s="35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4.25" customHeight="1" s="35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4.25" customHeight="1" s="35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4.25" customHeight="1" s="35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4.25" customHeight="1" s="35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4.25" customHeight="1" s="35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4.25" customHeight="1" s="35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4.25" customHeight="1" s="35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4.25" customHeight="1" s="35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4.25" customHeight="1" s="3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4.25" customHeight="1" s="35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4.25" customHeight="1" s="35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4.25" customHeight="1" s="35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4.25" customHeight="1" s="35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4.25" customHeight="1" s="35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4.25" customHeight="1" s="35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4.25" customHeight="1" s="35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4.25" customHeight="1" s="35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4.25" customHeight="1" s="35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4.25" customHeight="1" s="3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4.25" customHeight="1" s="35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4.25" customHeight="1" s="35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4.25" customHeight="1" s="35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4.25" customHeight="1" s="35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4.25" customHeight="1" s="35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4.25" customHeight="1" s="35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4.25" customHeight="1" s="35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4.25" customHeight="1" s="35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4.25" customHeight="1" s="35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4.25" customHeight="1" s="3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4.25" customHeight="1" s="35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4.25" customHeight="1" s="35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4.25" customHeight="1" s="35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4.25" customHeight="1" s="35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4.25" customHeight="1" s="35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4.25" customHeight="1" s="35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4.25" customHeight="1" s="35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4.25" customHeight="1" s="35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4.25" customHeight="1" s="35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4.25" customHeight="1" s="3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4.25" customHeight="1" s="35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4.25" customHeight="1" s="35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4.25" customHeight="1" s="35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4.25" customHeight="1" s="35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4.25" customHeight="1" s="35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4.25" customHeight="1" s="35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4.25" customHeight="1" s="35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4.25" customHeight="1" s="35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4.25" customHeight="1" s="35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4.25" customHeight="1" s="3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4.25" customHeight="1" s="35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4.25" customHeight="1" s="35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4.25" customHeight="1" s="35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4.25" customHeight="1" s="35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4.25" customHeight="1" s="35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4.25" customHeight="1" s="35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4.25" customHeight="1" s="35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4.25" customHeight="1" s="35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4.25" customHeight="1" s="35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4.25" customHeight="1" s="3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4.25" customHeight="1" s="35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4.25" customHeight="1" s="35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4.25" customHeight="1" s="35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4.25" customHeight="1" s="35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4.25" customHeight="1" s="35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4.25" customHeight="1" s="35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4.25" customHeight="1" s="35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4.25" customHeight="1" s="35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4.25" customHeight="1" s="35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4.25" customHeight="1" s="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4.25" customHeight="1" s="35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4.25" customHeight="1" s="35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4.25" customHeight="1" s="35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4.25" customHeight="1" s="35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4.25" customHeight="1" s="35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4.25" customHeight="1" s="35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4.25" customHeight="1" s="35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4.25" customHeight="1" s="35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4.25" customHeight="1" s="35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4.25" customHeight="1" s="3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4.25" customHeight="1" s="35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4.25" customHeight="1" s="35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4.25" customHeight="1" s="35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4.25" customHeight="1" s="35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4.25" customHeight="1" s="35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4.25" customHeight="1" s="35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4.25" customHeight="1" s="35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4.25" customHeight="1" s="35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4.25" customHeight="1" s="35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4.25" customHeight="1" s="3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4.25" customHeight="1" s="35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4.25" customHeight="1" s="35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4.25" customHeight="1" s="35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4.25" customHeight="1" s="35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4.25" customHeight="1" s="35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4.25" customHeight="1" s="35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4.25" customHeight="1" s="35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4.25" customHeight="1" s="35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4.25" customHeight="1" s="35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4.25" customHeight="1" s="3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4.25" customHeight="1" s="35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4.25" customHeight="1" s="35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4.25" customHeight="1" s="35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4.25" customHeight="1" s="35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4.25" customHeight="1" s="35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4.25" customHeight="1" s="35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4.25" customHeight="1" s="35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4.25" customHeight="1" s="35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4.25" customHeight="1" s="35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4.25" customHeight="1" s="3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4.25" customHeight="1" s="35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4.25" customHeight="1" s="35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4.25" customHeight="1" s="35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4.25" customHeight="1" s="35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4.25" customHeight="1" s="35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4.25" customHeight="1" s="35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4.25" customHeight="1" s="35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4.25" customHeight="1" s="35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4.25" customHeight="1" s="35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4.25" customHeight="1" s="3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4.25" customHeight="1" s="35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4.25" customHeight="1" s="35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4.25" customHeight="1" s="35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4.25" customHeight="1" s="35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4.25" customHeight="1" s="35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4.25" customHeight="1" s="35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4.25" customHeight="1" s="35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4.25" customHeight="1" s="35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4.25" customHeight="1" s="35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4.25" customHeight="1" s="3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4.25" customHeight="1" s="35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4.25" customHeight="1" s="35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4.25" customHeight="1" s="35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4.25" customHeight="1" s="35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4.25" customHeight="1" s="35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4.25" customHeight="1" s="35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4.25" customHeight="1" s="35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4.25" customHeight="1" s="35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4.25" customHeight="1" s="35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4.25" customHeight="1" s="3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4.25" customHeight="1" s="35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4.25" customHeight="1" s="35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4.25" customHeight="1" s="35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4.25" customHeight="1" s="35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4.25" customHeight="1" s="35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4.25" customHeight="1" s="35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4.25" customHeight="1" s="35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4.25" customHeight="1" s="35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4.25" customHeight="1" s="35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4.25" customHeight="1" s="3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4.25" customHeight="1" s="35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4.25" customHeight="1" s="35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4.25" customHeight="1" s="35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4.25" customHeight="1" s="35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4.25" customHeight="1" s="35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4.25" customHeight="1" s="35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4.25" customHeight="1" s="35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4.25" customHeight="1" s="35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4.25" customHeight="1" s="35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4.25" customHeight="1" s="3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4.25" customHeight="1" s="35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4.25" customHeight="1" s="35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4.25" customHeight="1" s="35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4.25" customHeight="1" s="35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4.25" customHeight="1" s="35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4.25" customHeight="1" s="35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4.25" customHeight="1" s="35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4.25" customHeight="1" s="35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4.25" customHeight="1" s="35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4.25" customHeight="1" s="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4.25" customHeight="1" s="35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4.25" customHeight="1" s="35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4.25" customHeight="1" s="35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4.25" customHeight="1" s="35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4.25" customHeight="1" s="35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4.25" customHeight="1" s="35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4.25" customHeight="1" s="35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4.25" customHeight="1" s="35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4.25" customHeight="1" s="35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4.25" customHeight="1" s="3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4.25" customHeight="1" s="35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4.25" customHeight="1" s="35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4.25" customHeight="1" s="35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4.25" customHeight="1" s="35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4.25" customHeight="1" s="35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4.25" customHeight="1" s="35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4.25" customHeight="1" s="35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4.25" customHeight="1" s="35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4.25" customHeight="1" s="35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4.25" customHeight="1" s="3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4.25" customHeight="1" s="35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4.25" customHeight="1" s="35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4.25" customHeight="1" s="35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4.25" customHeight="1" s="35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4.25" customHeight="1" s="35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4.25" customHeight="1" s="35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4.25" customHeight="1" s="35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4.25" customHeight="1" s="35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4.25" customHeight="1" s="35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4.25" customHeight="1" s="35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4.25" customHeight="1" s="35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4.25" customHeight="1" s="35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4.25" customHeight="1" s="35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4.25" customHeight="1" s="35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4.25" customHeight="1" s="35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4.25" customHeight="1" s="35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4.25" customHeight="1" s="35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4.25" customHeight="1" s="35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4.25" customHeight="1" s="35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4.25" customHeight="1" s="35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4.25" customHeight="1" s="35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4.25" customHeight="1" s="35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4.25" customHeight="1" s="35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4.25" customHeight="1" s="35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4.25" customHeight="1" s="35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4.25" customHeight="1" s="35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4.25" customHeight="1" s="35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4.25" customHeight="1" s="35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4.25" customHeight="1" s="35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4.25" customHeight="1" s="35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4.25" customHeight="1" s="35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4.25" customHeight="1" s="35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4.25" customHeight="1" s="35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  <row r="989" ht="14.25" customHeight="1" s="35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</row>
    <row r="990" ht="14.25" customHeight="1" s="35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</row>
    <row r="991" ht="14.25" customHeight="1" s="35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</row>
    <row r="992" ht="14.25" customHeight="1" s="35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</row>
    <row r="993" ht="14.25" customHeight="1" s="35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</row>
    <row r="994" ht="14.25" customHeight="1" s="35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</row>
    <row r="995" ht="14.25" customHeight="1" s="35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</row>
    <row r="996" ht="14.25" customHeight="1" s="35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</row>
    <row r="997" ht="14.25" customHeight="1" s="35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</row>
    <row r="998" ht="14.25" customHeight="1" s="35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</row>
    <row r="999" ht="14.25" customHeight="1" s="35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</row>
    <row r="1000" ht="14.25" customHeight="1" s="35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</row>
  </sheetData>
  <mergeCells count="2">
    <mergeCell ref="B39:C39"/>
    <mergeCell ref="B2:C2"/>
  </mergeCells>
  <hyperlinks>
    <hyperlink xmlns:r="http://schemas.openxmlformats.org/officeDocument/2006/relationships" ref="A4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00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2" sqref="I2"/>
    </sheetView>
  </sheetViews>
  <sheetFormatPr baseColWidth="8" defaultColWidth="14.43" defaultRowHeight="15" customHeight="1"/>
  <cols>
    <col width="8" customWidth="1" style="35" min="1" max="1"/>
    <col width="11" customWidth="1" style="35" min="2" max="2"/>
    <col width="26" customWidth="1" style="35" min="3" max="3"/>
    <col width="16" customWidth="1" style="35" min="4" max="5"/>
    <col width="22" customWidth="1" style="35" min="6" max="6"/>
    <col width="15" customWidth="1" style="35" min="7" max="7"/>
    <col width="46" customWidth="1" style="35" min="8" max="8"/>
    <col width="16" customWidth="1" style="35" min="9" max="10"/>
    <col width="12" customWidth="1" style="35" min="11" max="12"/>
    <col width="15" customWidth="1" style="35" min="13" max="14"/>
    <col width="24" customWidth="1" style="35" min="15" max="15"/>
    <col width="18" customWidth="1" style="35" min="16" max="16"/>
    <col width="34" customWidth="1" style="35" min="17" max="18"/>
    <col width="10" customWidth="1" style="35" min="19" max="19"/>
    <col width="17" customWidth="1" style="35" min="20" max="20"/>
    <col width="34" customWidth="1" style="35" min="21" max="21"/>
    <col width="9" customWidth="1" style="35" min="22" max="22"/>
    <col width="7" customWidth="1" style="35" min="23" max="23"/>
    <col width="30" customWidth="1" style="35" min="24" max="24"/>
    <col width="10" customWidth="1" style="35" min="25" max="26"/>
    <col width="14" customWidth="1" style="35" min="27" max="27"/>
    <col width="16" customWidth="1" style="35" min="28" max="28"/>
    <col width="12" customWidth="1" style="35" min="29" max="29"/>
    <col width="40" customWidth="1" style="35" min="30" max="30"/>
    <col width="30" customWidth="1" style="35" min="31" max="31"/>
    <col width="18" customWidth="1" style="35" min="32" max="32"/>
    <col width="12" customWidth="1" style="35" min="33" max="33"/>
    <col width="14" customWidth="1" style="35" min="34" max="34"/>
    <col width="30" customWidth="1" style="35" min="35" max="35"/>
  </cols>
  <sheetData>
    <row r="1" ht="14.25" customHeight="1" s="35">
      <c r="A1" s="2" t="inlineStr">
        <is>
          <t>InGage Source Library - Source Register (one row = one document version)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4" t="n"/>
      <c r="AE1" s="34" t="n"/>
      <c r="AF1" s="34" t="n"/>
      <c r="AG1" s="34" t="n"/>
      <c r="AH1" s="34" t="n"/>
      <c r="AI1" s="34" t="n"/>
    </row>
    <row r="2" ht="14.25" customHeight="1" s="35">
      <c r="A2" s="6" t="inlineStr">
        <is>
          <t>Blue headers = intern fills.  Grey = automatic / hint.  Orange = supervisor only.  Green row = worked example (S-001 style).  Read the "How to Fill" tab first.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</row>
    <row r="3" ht="14.25" customHeight="1" s="35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n"/>
      <c r="AI3" s="34" t="n"/>
    </row>
    <row r="4" ht="42" customHeight="1" s="35">
      <c r="A4" s="8" t="inlineStr">
        <is>
          <t>Row ID</t>
        </is>
      </c>
      <c r="B4" s="7" t="inlineStr">
        <is>
          <t>Assigned To</t>
        </is>
      </c>
      <c r="C4" s="7" t="inlineStr">
        <is>
          <t>Category</t>
        </is>
      </c>
      <c r="D4" s="7" t="inlineStr">
        <is>
          <t>Authority</t>
        </is>
      </c>
      <c r="E4" s="7" t="inlineStr">
        <is>
          <t>Authority Kind</t>
        </is>
      </c>
      <c r="F4" s="7" t="inlineStr">
        <is>
          <t>Source Role (suggested)</t>
        </is>
      </c>
      <c r="G4" s="7" t="inlineStr">
        <is>
          <t>Source Code</t>
        </is>
      </c>
      <c r="H4" s="7" t="inlineStr">
        <is>
          <t>Official Title (exact)</t>
        </is>
      </c>
      <c r="I4" s="7" t="inlineStr">
        <is>
          <t>Document Type</t>
        </is>
      </c>
      <c r="J4" s="7" t="inlineStr">
        <is>
          <t>Version / Edition</t>
        </is>
      </c>
      <c r="K4" s="7" t="inlineStr">
        <is>
          <t>Issued On</t>
        </is>
      </c>
      <c r="L4" s="7" t="inlineStr">
        <is>
          <t>Effective From</t>
        </is>
      </c>
      <c r="M4" s="7" t="inlineStr">
        <is>
          <t>Current Status</t>
        </is>
      </c>
      <c r="N4" s="7" t="inlineStr">
        <is>
          <t>Supersedes / Amends</t>
        </is>
      </c>
      <c r="O4" s="7" t="inlineStr">
        <is>
          <t>Applies To</t>
        </is>
      </c>
      <c r="P4" s="7" t="inlineStr">
        <is>
          <t>Programme / Trade Scope</t>
        </is>
      </c>
      <c r="Q4" s="7" t="inlineStr">
        <is>
          <t>Listing Page URL</t>
        </is>
      </c>
      <c r="R4" s="7" t="inlineStr">
        <is>
          <t>Direct Document URL</t>
        </is>
      </c>
      <c r="S4" s="7" t="inlineStr">
        <is>
          <t>Official Domain?</t>
        </is>
      </c>
      <c r="T4" s="7" t="inlineStr">
        <is>
          <t>Collection Status</t>
        </is>
      </c>
      <c r="U4" s="7" t="inlineStr">
        <is>
          <t>Local File (folder/name)</t>
        </is>
      </c>
      <c r="V4" s="7" t="inlineStr">
        <is>
          <t>File Size (KB)</t>
        </is>
      </c>
      <c r="W4" s="7" t="inlineStr">
        <is>
          <t>Pages</t>
        </is>
      </c>
      <c r="X4" s="7" t="inlineStr">
        <is>
          <t>SHA-256 Checksum</t>
        </is>
      </c>
      <c r="Y4" s="7" t="inlineStr">
        <is>
          <t>Licensed Content?</t>
        </is>
      </c>
      <c r="Z4" s="7" t="inlineStr">
        <is>
          <t>Review Cadence (months)</t>
        </is>
      </c>
      <c r="AA4" s="7" t="inlineStr">
        <is>
          <t>Watcher Feed Type</t>
        </is>
      </c>
      <c r="AB4" s="7" t="inlineStr">
        <is>
          <t>Related Benchmark IDs</t>
        </is>
      </c>
      <c r="AC4" s="7" t="inlineStr">
        <is>
          <t>Collected On</t>
        </is>
      </c>
      <c r="AD4" s="7" t="inlineStr">
        <is>
          <t>Notes</t>
        </is>
      </c>
      <c r="AE4" s="8" t="inlineStr">
        <is>
          <t>Start Here (hint)</t>
        </is>
      </c>
      <c r="AF4" s="8" t="inlineStr">
        <is>
          <t>Row Check</t>
        </is>
      </c>
      <c r="AG4" s="16" t="inlineStr">
        <is>
          <t>QA Status</t>
        </is>
      </c>
      <c r="AH4" s="16" t="inlineStr">
        <is>
          <t>QA By / Date</t>
        </is>
      </c>
      <c r="AI4" s="16" t="inlineStr">
        <is>
          <t>QA Comment</t>
        </is>
      </c>
    </row>
    <row r="5" ht="14.25" customHeight="1" s="35">
      <c r="A5" s="21" t="inlineStr">
        <is>
          <t>S-001</t>
        </is>
      </c>
      <c r="B5" s="21" t="inlineStr">
        <is>
          <t>Intern A</t>
        </is>
      </c>
      <c r="C5" s="21" t="inlineStr">
        <is>
          <t>1. Accreditation &amp; Quality</t>
        </is>
      </c>
      <c r="D5" s="21" t="inlineStr">
        <is>
          <t>NAAC</t>
        </is>
      </c>
      <c r="E5" s="21" t="inlineStr">
        <is>
          <t>accreditation</t>
        </is>
      </c>
      <c r="F5" s="21" t="inlineStr">
        <is>
          <t>Authoritative quality framework</t>
        </is>
      </c>
      <c r="G5" s="21" t="inlineStr">
        <is>
          <t>NAAC-001</t>
        </is>
      </c>
      <c r="H5" s="21" t="inlineStr">
        <is>
          <t>NAAC Criteria and Key Indicators Annexure (with weightages)</t>
        </is>
      </c>
      <c r="I5" s="21" t="inlineStr">
        <is>
          <t>Manual</t>
        </is>
      </c>
      <c r="J5" s="21" t="n"/>
      <c r="K5" s="19" t="n"/>
      <c r="L5" s="19" t="n"/>
      <c r="M5" s="21" t="inlineStr">
        <is>
          <t>Not verified</t>
        </is>
      </c>
      <c r="N5" s="21" t="n"/>
      <c r="O5" s="21" t="inlineStr">
        <is>
          <t>All HEIs</t>
        </is>
      </c>
      <c r="P5" s="21" t="n"/>
      <c r="Q5" s="20" t="inlineStr">
        <is>
          <t>https://naac.gov.in/index.php/en/component/search/?searchword=Criteria%20and%20Key%20Indicators%20Annexure&amp;searchphrase=all</t>
        </is>
      </c>
      <c r="R5" s="21" t="n"/>
      <c r="S5" s="21" t="n"/>
      <c r="T5" s="21" t="inlineStr">
        <is>
          <t>Downloaded</t>
        </is>
      </c>
      <c r="U5" s="20" t="inlineStr">
        <is>
          <t>https://drive.google.com/drive/folders/1Hbqu-ekfL3sVsfM-57H3KDnewAmpZAQq?usp=drive_link</t>
        </is>
      </c>
      <c r="V5" s="21" t="n"/>
      <c r="W5" s="21" t="n"/>
      <c r="X5" s="21" t="n"/>
      <c r="Y5" s="21" t="inlineStr">
        <is>
          <t>No</t>
        </is>
      </c>
      <c r="Z5" s="21" t="n">
        <v>3</v>
      </c>
      <c r="AA5" s="21" t="inlineStr">
        <is>
          <t>web_page</t>
        </is>
      </c>
      <c r="AB5" s="21" t="n"/>
      <c r="AC5" s="19" t="n"/>
      <c r="AD5" s="21" t="n"/>
      <c r="AE5" s="22" t="inlineStr">
        <is>
          <t>https://assessmentonline.naac.gov.in/</t>
        </is>
      </c>
      <c r="AF5" s="21">
        <f>IF($H5="","",IF($T5="To find","Not started",IF(($C5="")+($D5="")+($E5="")+($G5="")+($I5="")+($M5="")+($O5="")+($S5="")&gt;0,"Missing basic details",IF(AND($T5="Downloaded",($R5="")+($U5="")+($V5="")+(($W5="")*(RIGHT(LOWER($U5),4)=".pdf"))&gt;0),"Add file details",IF(AND($T5="Downloaded",LEN($X5)&lt;&gt;64),"Check SHA-256",IF(AND($Q5="",$R5=""),"Add a URL",IF($S5="No","Not official - replace",IF($M5="Not verified","Verify status","OK"))))))))</f>
        <v/>
      </c>
      <c r="AG5" s="21" t="inlineStr">
        <is>
          <t>Needs fix</t>
        </is>
      </c>
      <c r="AH5" s="21" t="inlineStr">
        <is>
          <t>Auto-QA 12-Oct-2026</t>
        </is>
      </c>
      <c r="AI5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</t>
        </is>
      </c>
    </row>
    <row r="6" ht="14.25" customHeight="1" s="35">
      <c r="A6" s="21" t="inlineStr">
        <is>
          <t>S-002</t>
        </is>
      </c>
      <c r="B6" s="21" t="inlineStr">
        <is>
          <t>Intern A</t>
        </is>
      </c>
      <c r="C6" s="21" t="inlineStr">
        <is>
          <t>1. Accreditation &amp; Quality</t>
        </is>
      </c>
      <c r="D6" s="21" t="inlineStr">
        <is>
          <t>NAAC</t>
        </is>
      </c>
      <c r="E6" s="21" t="inlineStr">
        <is>
          <t>accreditation</t>
        </is>
      </c>
      <c r="F6" s="21" t="inlineStr">
        <is>
          <t>Authoritative quality framework</t>
        </is>
      </c>
      <c r="G6" s="21" t="inlineStr">
        <is>
          <t>NAAC-002-UNIV</t>
        </is>
      </c>
      <c r="H6" s="21" t="inlineStr">
        <is>
          <t>NAAC SSR Manual and QIF - Universities</t>
        </is>
      </c>
      <c r="I6" s="21" t="inlineStr">
        <is>
          <t>SSR / QIF / SAR</t>
        </is>
      </c>
      <c r="J6" s="21" t="n"/>
      <c r="K6" s="19" t="n"/>
      <c r="L6" s="19" t="n"/>
      <c r="M6" s="21" t="inlineStr">
        <is>
          <t>Not verified</t>
        </is>
      </c>
      <c r="N6" s="21" t="n"/>
      <c r="O6" s="21" t="inlineStr">
        <is>
          <t>Universities</t>
        </is>
      </c>
      <c r="P6" s="21" t="n"/>
      <c r="Q6" s="20" t="inlineStr">
        <is>
          <t>https://iqac.annauniv.edu/AAA%26R/NAAC_Revised_University_Manual_Dec_2022.pdf</t>
        </is>
      </c>
      <c r="R6" s="21" t="n"/>
      <c r="S6" s="21" t="n"/>
      <c r="T6" s="21" t="inlineStr">
        <is>
          <t>Downloaded</t>
        </is>
      </c>
      <c r="U6" s="24" t="inlineStr">
        <is>
          <t>https://drive.google.com/drive/folders/1Hbqu-ekfL3sVsfM-57H3KDnewAmpZAQq?usp=drive_link</t>
        </is>
      </c>
      <c r="V6" s="21" t="n"/>
      <c r="W6" s="21" t="n"/>
      <c r="X6" s="21" t="n"/>
      <c r="Y6" s="21" t="inlineStr">
        <is>
          <t>No</t>
        </is>
      </c>
      <c r="Z6" s="21" t="n">
        <v>1</v>
      </c>
      <c r="AA6" s="21" t="inlineStr">
        <is>
          <t>document_index</t>
        </is>
      </c>
      <c r="AB6" s="21" t="n"/>
      <c r="AC6" s="19" t="n"/>
      <c r="AD6" s="21" t="n"/>
      <c r="AE6" s="14" t="inlineStr">
        <is>
          <t>https://assessmentonline.naac.gov.in/</t>
        </is>
      </c>
      <c r="AF6" s="21">
        <f>IF($H6="","",IF($T6="To find","Not started",IF(($C6="")+($D6="")+($E6="")+($G6="")+($I6="")+($M6="")+($O6="")+($S6="")&gt;0,"Missing basic details",IF(AND($T6="Downloaded",($R6="")+($U6="")+($V6="")+(($W6="")*(RIGHT(LOWER($U6),4)=".pdf"))&gt;0),"Add file details",IF(AND($T6="Downloaded",LEN($X6)&lt;&gt;64),"Check SHA-256",IF(AND($Q6="",$R6=""),"Add a URL",IF($S6="No","Not official - replace",IF($M6="Not verified","Verify status","OK"))))))))</f>
        <v/>
      </c>
      <c r="AG6" s="21" t="inlineStr">
        <is>
          <t>Needs fix</t>
        </is>
      </c>
      <c r="AH6" s="21" t="inlineStr">
        <is>
          <t>Auto-QA 12-Oct-2026</t>
        </is>
      </c>
      <c r="AI6" s="21" t="inlineStr">
        <is>
          <t>1) Listing Page URL is on iqac.annauniv.edu, not the official site - replace with the authority's own link (copies on college or third-party sites are not accepted). | 2) Drive link is a FOLDER - link the exact file (drive.google.com/file/d/...). | 3) Downloaded but missing: Direct Document URL, File Size (KB), SHA-256 Checksum, Version / Edition, Issued On. | 4) Set Current Status from the document (Current / Superseded ...).</t>
        </is>
      </c>
    </row>
    <row r="7" ht="14.25" customHeight="1" s="35">
      <c r="A7" s="21" t="inlineStr">
        <is>
          <t>S-003</t>
        </is>
      </c>
      <c r="B7" s="21" t="inlineStr">
        <is>
          <t>Intern A</t>
        </is>
      </c>
      <c r="C7" s="21" t="inlineStr">
        <is>
          <t>1. Accreditation &amp; Quality</t>
        </is>
      </c>
      <c r="D7" s="21" t="inlineStr">
        <is>
          <t>NAAC</t>
        </is>
      </c>
      <c r="E7" s="21" t="inlineStr">
        <is>
          <t>accreditation</t>
        </is>
      </c>
      <c r="F7" s="21" t="inlineStr">
        <is>
          <t>Authoritative quality framework</t>
        </is>
      </c>
      <c r="G7" s="21" t="inlineStr">
        <is>
          <t>NAAC-002-AUTO</t>
        </is>
      </c>
      <c r="H7" s="21" t="inlineStr">
        <is>
          <t>NAAC SSR Manual and QIF - Autonomous Colleges</t>
        </is>
      </c>
      <c r="I7" s="21" t="inlineStr">
        <is>
          <t>SSR / QIF / SAR</t>
        </is>
      </c>
      <c r="J7" s="21" t="n"/>
      <c r="K7" s="19" t="n"/>
      <c r="L7" s="19" t="n"/>
      <c r="M7" s="21" t="inlineStr">
        <is>
          <t>Not verified</t>
        </is>
      </c>
      <c r="N7" s="21" t="n"/>
      <c r="O7" s="21" t="inlineStr">
        <is>
          <t>Autonomous colleges</t>
        </is>
      </c>
      <c r="P7" s="21" t="n"/>
      <c r="Q7" s="20" t="inlineStr">
        <is>
          <t>https://mits.ac.in/assets/pdf/iqac/NAAC%20Autonomous_College%20Manual_29-03-2023_Updated_9-8-2023.pdf</t>
        </is>
      </c>
      <c r="R7" s="21" t="n"/>
      <c r="S7" s="21" t="n"/>
      <c r="T7" s="21" t="inlineStr">
        <is>
          <t>Downloaded</t>
        </is>
      </c>
      <c r="U7" s="24" t="inlineStr">
        <is>
          <t>https://drive.google.com/drive/folders/1Hbqu-ekfL3sVsfM-57H3KDnewAmpZAQq?usp=drive_link</t>
        </is>
      </c>
      <c r="V7" s="21" t="n"/>
      <c r="W7" s="21" t="n"/>
      <c r="X7" s="21" t="n"/>
      <c r="Y7" s="21" t="inlineStr">
        <is>
          <t>No</t>
        </is>
      </c>
      <c r="Z7" s="21" t="n">
        <v>1</v>
      </c>
      <c r="AA7" s="21" t="inlineStr">
        <is>
          <t>document_index</t>
        </is>
      </c>
      <c r="AB7" s="21" t="n"/>
      <c r="AC7" s="19" t="n"/>
      <c r="AD7" s="21" t="n"/>
      <c r="AE7" s="14" t="inlineStr">
        <is>
          <t>https://assessmentonline.naac.gov.in/</t>
        </is>
      </c>
      <c r="AF7" s="21">
        <f>IF($H7="","",IF($T7="To find","Not started",IF(($C7="")+($D7="")+($E7="")+($G7="")+($I7="")+($M7="")+($O7="")+($S7="")&gt;0,"Missing basic details",IF(AND($T7="Downloaded",($R7="")+($U7="")+($V7="")+(($W7="")*(RIGHT(LOWER($U7),4)=".pdf"))&gt;0),"Add file details",IF(AND($T7="Downloaded",LEN($X7)&lt;&gt;64),"Check SHA-256",IF(AND($Q7="",$R7=""),"Add a URL",IF($S7="No","Not official - replace",IF($M7="Not verified","Verify status","OK"))))))))</f>
        <v/>
      </c>
      <c r="AG7" s="21" t="inlineStr">
        <is>
          <t>Needs fix</t>
        </is>
      </c>
      <c r="AH7" s="21" t="inlineStr">
        <is>
          <t>Auto-QA 12-Oct-2026</t>
        </is>
      </c>
      <c r="AI7" s="21" t="inlineStr">
        <is>
          <t>1) Listing Page URL is on mits.ac.in, not the official site - replace with the authority's own link (copies on college or third-party sites are not accepted). | 2) Drive link is a FOLDER - link the exact file (drive.google.com/file/d/...). | 3) Downloaded but missing: Direct Document URL, File Size (KB), SHA-256 Checksum, Version / Edition, Issued On. | 4) Set Current Status from the document (Current / Superseded ...).</t>
        </is>
      </c>
    </row>
    <row r="8" ht="14.25" customHeight="1" s="35">
      <c r="A8" s="21" t="inlineStr">
        <is>
          <t>S-004</t>
        </is>
      </c>
      <c r="B8" s="21" t="inlineStr">
        <is>
          <t>Intern A</t>
        </is>
      </c>
      <c r="C8" s="21" t="inlineStr">
        <is>
          <t>1. Accreditation &amp; Quality</t>
        </is>
      </c>
      <c r="D8" s="21" t="inlineStr">
        <is>
          <t>NAAC</t>
        </is>
      </c>
      <c r="E8" s="21" t="inlineStr">
        <is>
          <t>accreditation</t>
        </is>
      </c>
      <c r="F8" s="21" t="inlineStr">
        <is>
          <t>Authoritative quality framework</t>
        </is>
      </c>
      <c r="G8" s="21" t="inlineStr">
        <is>
          <t>NAAC-002-AFF</t>
        </is>
      </c>
      <c r="H8" s="21" t="inlineStr">
        <is>
          <t>NAAC SSR Manual and QIF - Affiliated / Constituent Colleges</t>
        </is>
      </c>
      <c r="I8" s="21" t="inlineStr">
        <is>
          <t>SSR / QIF / SAR</t>
        </is>
      </c>
      <c r="J8" s="21" t="n"/>
      <c r="K8" s="19" t="n"/>
      <c r="L8" s="19" t="n"/>
      <c r="M8" s="21" t="inlineStr">
        <is>
          <t>Not verified</t>
        </is>
      </c>
      <c r="N8" s="21" t="n"/>
      <c r="O8" s="21" t="inlineStr">
        <is>
          <t>Affiliated and constituent colleges</t>
        </is>
      </c>
      <c r="P8" s="21" t="n"/>
      <c r="Q8" s="20" t="inlineStr">
        <is>
          <t>https://www.ramajeemahavidyalaya.edu.in/uplfile/revised_ssr.pdf</t>
        </is>
      </c>
      <c r="R8" s="21" t="n"/>
      <c r="S8" s="21" t="n"/>
      <c r="T8" s="21" t="inlineStr">
        <is>
          <t>Downloaded</t>
        </is>
      </c>
      <c r="U8" s="24" t="inlineStr">
        <is>
          <t>https://drive.google.com/drive/folders/1Hbqu-ekfL3sVsfM-57H3KDnewAmpZAQq?usp=drive_link</t>
        </is>
      </c>
      <c r="V8" s="21" t="n"/>
      <c r="W8" s="21" t="n"/>
      <c r="X8" s="21" t="n"/>
      <c r="Y8" s="21" t="inlineStr">
        <is>
          <t>No</t>
        </is>
      </c>
      <c r="Z8" s="21" t="n">
        <v>1</v>
      </c>
      <c r="AA8" s="21" t="inlineStr">
        <is>
          <t>document_index</t>
        </is>
      </c>
      <c r="AB8" s="21" t="n"/>
      <c r="AC8" s="19" t="n"/>
      <c r="AD8" s="21" t="n"/>
      <c r="AE8" s="14" t="inlineStr">
        <is>
          <t>https://assessmentonline.naac.gov.in/</t>
        </is>
      </c>
      <c r="AF8" s="21">
        <f>IF($H8="","",IF($T8="To find","Not started",IF(($C8="")+($D8="")+($E8="")+($G8="")+($I8="")+($M8="")+($O8="")+($S8="")&gt;0,"Missing basic details",IF(AND($T8="Downloaded",($R8="")+($U8="")+($V8="")+(($W8="")*(RIGHT(LOWER($U8),4)=".pdf"))&gt;0),"Add file details",IF(AND($T8="Downloaded",LEN($X8)&lt;&gt;64),"Check SHA-256",IF(AND($Q8="",$R8=""),"Add a URL",IF($S8="No","Not official - replace",IF($M8="Not verified","Verify status","OK"))))))))</f>
        <v/>
      </c>
      <c r="AG8" s="21" t="inlineStr">
        <is>
          <t>Needs fix</t>
        </is>
      </c>
      <c r="AH8" s="21" t="inlineStr">
        <is>
          <t>Auto-QA 12-Oct-2026</t>
        </is>
      </c>
      <c r="AI8" s="21" t="inlineStr">
        <is>
          <t>1) Listing Page URL is on ramajeemahavidyalaya.edu.in, not the official site - replace with the authority's own link (copies on college or third-party sites are not accepted). | 2) Drive link is a FOLDER - link the exact file (drive.google.com/file/d/...). | 3) Downloaded but missing: Direct Document URL, File Size (KB), SHA-256 Checksum, Version / Edition, Issued On. | 4) Set Current Status from the document (Current / Superseded ...).</t>
        </is>
      </c>
    </row>
    <row r="9" ht="14.25" customHeight="1" s="35">
      <c r="A9" s="21" t="inlineStr">
        <is>
          <t>S-005</t>
        </is>
      </c>
      <c r="B9" s="21" t="inlineStr">
        <is>
          <t>Intern A</t>
        </is>
      </c>
      <c r="C9" s="21" t="inlineStr">
        <is>
          <t>1. Accreditation &amp; Quality</t>
        </is>
      </c>
      <c r="D9" s="21" t="inlineStr">
        <is>
          <t>NAAC</t>
        </is>
      </c>
      <c r="E9" s="21" t="inlineStr">
        <is>
          <t>accreditation</t>
        </is>
      </c>
      <c r="F9" s="21" t="inlineStr">
        <is>
          <t>Authoritative quality framework</t>
        </is>
      </c>
      <c r="G9" s="21" t="inlineStr">
        <is>
          <t>NAAC-003</t>
        </is>
      </c>
      <c r="H9" s="21" t="inlineStr">
        <is>
          <t>NAAC data templates and metric-wise evidence instructions</t>
        </is>
      </c>
      <c r="I9" s="21" t="inlineStr">
        <is>
          <t>Data template</t>
        </is>
      </c>
      <c r="J9" s="21" t="n"/>
      <c r="K9" s="19" t="n"/>
      <c r="L9" s="19" t="n"/>
      <c r="M9" s="21" t="inlineStr">
        <is>
          <t>Not verified</t>
        </is>
      </c>
      <c r="N9" s="21" t="n"/>
      <c r="O9" s="21" t="n"/>
      <c r="P9" s="21" t="n"/>
      <c r="Q9" s="20" t="inlineStr">
        <is>
          <t>https://tiastc.tecnia.in/naac-manuals/</t>
        </is>
      </c>
      <c r="R9" s="21" t="n"/>
      <c r="S9" s="21" t="n"/>
      <c r="T9" s="21" t="inlineStr">
        <is>
          <t>Downloaded</t>
        </is>
      </c>
      <c r="U9" s="20" t="inlineStr">
        <is>
          <t>https://drive.google.com/drive/folders/1Hbqu-ekfL3sVsfM-57H3KDnewAmpZAQq?usp=drive_link</t>
        </is>
      </c>
      <c r="V9" s="21" t="n"/>
      <c r="W9" s="21" t="n"/>
      <c r="X9" s="21" t="n"/>
      <c r="Y9" s="21" t="inlineStr">
        <is>
          <t>No</t>
        </is>
      </c>
      <c r="Z9" s="21" t="n">
        <v>1</v>
      </c>
      <c r="AA9" s="21" t="inlineStr">
        <is>
          <t>document_index</t>
        </is>
      </c>
      <c r="AB9" s="21" t="n"/>
      <c r="AC9" s="19" t="n"/>
      <c r="AD9" s="21" t="n"/>
      <c r="AE9" s="14" t="inlineStr">
        <is>
          <t>https://assessmentonline.naac.gov.in/</t>
        </is>
      </c>
      <c r="AF9" s="21">
        <f>IF($H9="","",IF($T9="To find","Not started",IF(($C9="")+($D9="")+($E9="")+($G9="")+($I9="")+($M9="")+($O9="")+($S9="")&gt;0,"Missing basic details",IF(AND($T9="Downloaded",($R9="")+($U9="")+($V9="")+(($W9="")*(RIGHT(LOWER($U9),4)=".pdf"))&gt;0),"Add file details",IF(AND($T9="Downloaded",LEN($X9)&lt;&gt;64),"Check SHA-256",IF(AND($Q9="",$R9=""),"Add a URL",IF($S9="No","Not official - replace",IF($M9="Not verified","Verify status","OK"))))))))</f>
        <v/>
      </c>
      <c r="AG9" s="21" t="inlineStr">
        <is>
          <t>Needs fix</t>
        </is>
      </c>
      <c r="AH9" s="21" t="inlineStr">
        <is>
          <t>Auto-QA 12-Oct-2026</t>
        </is>
      </c>
      <c r="AI9" s="21" t="inlineStr">
        <is>
          <t>1) Listing Page URL is on tiastc.tecnia.in, not the official site - replace with the authority's own link (copies on college or third-party sites are not accepted). | 2) Drive link is a FOLDER - link the exact file (drive.google.com/file/d/...). | 3) Downloaded but missing: Direct Document URL, File Size (KB), SHA-256 Checksum, Version / Edition, Issued On. | 4) Set Current Status from the document (Current / Superseded ...). | 5) Fill "Applies To".</t>
        </is>
      </c>
    </row>
    <row r="10" ht="14.25" customHeight="1" s="35">
      <c r="A10" s="21" t="inlineStr">
        <is>
          <t>S-006</t>
        </is>
      </c>
      <c r="B10" s="21" t="inlineStr">
        <is>
          <t>Intern A</t>
        </is>
      </c>
      <c r="C10" s="21" t="inlineStr">
        <is>
          <t>1. Accreditation &amp; Quality</t>
        </is>
      </c>
      <c r="D10" s="21" t="inlineStr">
        <is>
          <t>NAAC</t>
        </is>
      </c>
      <c r="E10" s="21" t="inlineStr">
        <is>
          <t>accreditation</t>
        </is>
      </c>
      <c r="F10" s="21" t="inlineStr">
        <is>
          <t>Authoritative quality framework</t>
        </is>
      </c>
      <c r="G10" s="21" t="inlineStr">
        <is>
          <t>NAAC-004</t>
        </is>
      </c>
      <c r="H10" s="21" t="inlineStr">
        <is>
          <t>NAAC SOPs and assessment manuals (data validation, peer team visit)</t>
        </is>
      </c>
      <c r="I10" s="21" t="inlineStr">
        <is>
          <t>SOP</t>
        </is>
      </c>
      <c r="J10" s="21" t="n"/>
      <c r="K10" s="19" t="n"/>
      <c r="L10" s="19" t="n"/>
      <c r="M10" s="21" t="inlineStr">
        <is>
          <t>Not verified</t>
        </is>
      </c>
      <c r="N10" s="21" t="n"/>
      <c r="O10" s="21" t="n"/>
      <c r="P10" s="21" t="n"/>
      <c r="Q10" s="20" t="inlineStr">
        <is>
          <t>https://iqac.annauniv.edu/AAA%26R/NAAC_Revised_University_SOP_Dec_2022.pdf</t>
        </is>
      </c>
      <c r="R10" s="21" t="n"/>
      <c r="S10" s="21" t="n"/>
      <c r="T10" s="21" t="inlineStr">
        <is>
          <t>Downloaded</t>
        </is>
      </c>
      <c r="U10" s="24" t="inlineStr">
        <is>
          <t>https://drive.google.com/drive/folders/1Hbqu-ekfL3sVsfM-57H3KDnewAmpZAQq?usp=drive_link</t>
        </is>
      </c>
      <c r="V10" s="21" t="n"/>
      <c r="W10" s="21" t="n"/>
      <c r="X10" s="21" t="n"/>
      <c r="Y10" s="21" t="inlineStr">
        <is>
          <t>No</t>
        </is>
      </c>
      <c r="Z10" s="21" t="n">
        <v>3</v>
      </c>
      <c r="AA10" s="21" t="inlineStr">
        <is>
          <t>document_index</t>
        </is>
      </c>
      <c r="AB10" s="21" t="n"/>
      <c r="AC10" s="19" t="n"/>
      <c r="AD10" s="21" t="n"/>
      <c r="AE10" s="14" t="inlineStr">
        <is>
          <t>https://assessmentonline.naac.gov.in/</t>
        </is>
      </c>
      <c r="AF10" s="21">
        <f>IF($H10="","",IF($T10="To find","Not started",IF(($C10="")+($D10="")+($E10="")+($G10="")+($I10="")+($M10="")+($O10="")+($S10="")&gt;0,"Missing basic details",IF(AND($T10="Downloaded",($R10="")+($U10="")+($V10="")+(($W10="")*(RIGHT(LOWER($U10),4)=".pdf"))&gt;0),"Add file details",IF(AND($T10="Downloaded",LEN($X10)&lt;&gt;64),"Check SHA-256",IF(AND($Q10="",$R10=""),"Add a URL",IF($S10="No","Not official - replace",IF($M10="Not verified","Verify status","OK"))))))))</f>
        <v/>
      </c>
      <c r="AG10" s="21" t="inlineStr">
        <is>
          <t>Needs fix</t>
        </is>
      </c>
      <c r="AH10" s="21" t="inlineStr">
        <is>
          <t>Auto-QA 12-Oct-2026</t>
        </is>
      </c>
      <c r="AI10" s="21" t="inlineStr">
        <is>
          <t>1) Listing Page URL is on iqac.annauniv.edu, not the official site - replace with the authority's own link (copies on college or third-party sites are not accepted). | 2) Drive link is a FOLDER - link the exact file (drive.google.com/file/d/...). | 3) Downloaded but missing: Direct Document URL, File Size (KB), SHA-256 Checksum, Version / Edition, Issued On. | 4) Set Current Status from the document (Current / Superseded ...). | 5) Fill "Applies To".</t>
        </is>
      </c>
    </row>
    <row r="11" ht="14.25" customHeight="1" s="35">
      <c r="A11" s="21" t="inlineStr">
        <is>
          <t>S-007</t>
        </is>
      </c>
      <c r="B11" s="21" t="inlineStr">
        <is>
          <t>Intern A</t>
        </is>
      </c>
      <c r="C11" s="21" t="inlineStr">
        <is>
          <t>1. Accreditation &amp; Quality</t>
        </is>
      </c>
      <c r="D11" s="21" t="inlineStr">
        <is>
          <t>NBA</t>
        </is>
      </c>
      <c r="E11" s="21" t="inlineStr">
        <is>
          <t>accreditation</t>
        </is>
      </c>
      <c r="F11" s="21" t="inlineStr">
        <is>
          <t>Authoritative quality framework</t>
        </is>
      </c>
      <c r="G11" s="21" t="inlineStr">
        <is>
          <t>NBA-001</t>
        </is>
      </c>
      <c r="H11" s="21" t="inlineStr">
        <is>
          <t>NBA Accreditation Documents portal (register snapshot)</t>
        </is>
      </c>
      <c r="I11" s="21" t="inlineStr">
        <is>
          <t>Register page</t>
        </is>
      </c>
      <c r="J11" s="21" t="n"/>
      <c r="K11" s="19" t="n"/>
      <c r="L11" s="19" t="n"/>
      <c r="M11" s="21" t="inlineStr">
        <is>
          <t>Not verified</t>
        </is>
      </c>
      <c r="N11" s="21" t="n"/>
      <c r="O11" s="21" t="inlineStr">
        <is>
          <t>NBA-applicable programmes</t>
        </is>
      </c>
      <c r="P11" s="21" t="n"/>
      <c r="Q11" s="22" t="inlineStr">
        <is>
          <t>https://www.nbaind.org/Downloads/Documents</t>
        </is>
      </c>
      <c r="R11" s="14" t="inlineStr">
        <is>
          <t>https://www.nbaind.org/Downloads/Documents</t>
        </is>
      </c>
      <c r="S11" s="21" t="inlineStr">
        <is>
          <t>Yes</t>
        </is>
      </c>
      <c r="T11" s="21" t="inlineStr">
        <is>
          <t>Downloaded</t>
        </is>
      </c>
      <c r="U11" s="24" t="inlineStr">
        <is>
          <t>https://drive.google.com/drive/folders/1a1fiRcDfuN8O2-xMdYuGnhc-ITAlNAJj?usp=drive_link</t>
        </is>
      </c>
      <c r="V11" s="21" t="n">
        <v>228</v>
      </c>
      <c r="W11" s="21" t="n"/>
      <c r="X11" s="21" t="inlineStr">
        <is>
          <t>16e44ce55fb25881aec7bc5dd5183b052a91baab9bfe89a691277f0720334f7a</t>
        </is>
      </c>
      <c r="Y11" s="21" t="inlineStr">
        <is>
          <t>No</t>
        </is>
      </c>
      <c r="Z11" s="21" t="n">
        <v>3</v>
      </c>
      <c r="AA11" s="21" t="inlineStr">
        <is>
          <t>document_index</t>
        </is>
      </c>
      <c r="AB11" s="21" t="n"/>
      <c r="AC11" s="19" t="n"/>
      <c r="AD11" s="21" t="inlineStr">
        <is>
          <t>Snapshot from manager v0.1 pack. Use this page to find NBA-004 to NBA-009.</t>
        </is>
      </c>
      <c r="AE11" s="21" t="n"/>
      <c r="AF11" s="21">
        <f>IF($H11="","",IF($T11="To find","Not started",IF(($C11="")+($D11="")+($E11="")+($G11="")+($I11="")+($M11="")+($O11="")+($S11="")&gt;0,"Missing basic details",IF(AND($T11="Downloaded",($R11="")+($U11="")+($V11="")+(($W11="")*(RIGHT(LOWER($U11),4)=".pdf"))&gt;0),"Add file details",IF(AND($T11="Downloaded",LEN($X11)&lt;&gt;64),"Check SHA-256",IF(AND($Q11="",$R11=""),"Add a URL",IF($S11="No","Not official - replace",IF($M11="Not verified","Verify status","OK"))))))))</f>
        <v/>
      </c>
      <c r="AG11" s="21" t="inlineStr">
        <is>
          <t>Needs fix</t>
        </is>
      </c>
      <c r="AH11" s="21" t="inlineStr">
        <is>
          <t>Auto-QA 12-Oct-2026</t>
        </is>
      </c>
      <c r="AI11" s="21" t="inlineStr">
        <is>
          <t>1) Drive link is a FOLDER - link the exact file (drive.google.com/file/d/...). | 2) Downloaded but missing: Version / Edition, Issued On. | 3) Set Current Status from the document (Current / Superseded ...).</t>
        </is>
      </c>
    </row>
    <row r="12" ht="14.25" customHeight="1" s="35">
      <c r="A12" s="21" t="inlineStr">
        <is>
          <t>S-008</t>
        </is>
      </c>
      <c r="B12" s="21" t="inlineStr">
        <is>
          <t>Intern A</t>
        </is>
      </c>
      <c r="C12" s="21" t="inlineStr">
        <is>
          <t>1. Accreditation &amp; Quality</t>
        </is>
      </c>
      <c r="D12" s="21" t="inlineStr">
        <is>
          <t>NBA</t>
        </is>
      </c>
      <c r="E12" s="21" t="inlineStr">
        <is>
          <t>accreditation</t>
        </is>
      </c>
      <c r="F12" s="21" t="inlineStr">
        <is>
          <t>Authoritative quality framework</t>
        </is>
      </c>
      <c r="G12" s="21" t="inlineStr">
        <is>
          <t>NBA-002</t>
        </is>
      </c>
      <c r="H12" s="21" t="inlineStr">
        <is>
          <t>NBA General Manual for Accreditation</t>
        </is>
      </c>
      <c r="I12" s="21" t="inlineStr">
        <is>
          <t>Manual</t>
        </is>
      </c>
      <c r="J12" s="21" t="n"/>
      <c r="K12" s="19" t="n"/>
      <c r="L12" s="19" t="n"/>
      <c r="M12" s="21" t="inlineStr">
        <is>
          <t>Not verified</t>
        </is>
      </c>
      <c r="N12" s="21" t="n"/>
      <c r="O12" s="21" t="inlineStr">
        <is>
          <t>NBA-applicable programmes</t>
        </is>
      </c>
      <c r="P12" s="21" t="n"/>
      <c r="Q12" s="27" t="inlineStr">
        <is>
          <t>https://www.nbaind.org/Downloads/Documents</t>
        </is>
      </c>
      <c r="R12" s="14" t="inlineStr">
        <is>
          <t>https://www.nbaind.org/files/General_Manual_V1.0_Format_20240423170211.pdf</t>
        </is>
      </c>
      <c r="S12" s="21" t="inlineStr">
        <is>
          <t>Yes</t>
        </is>
      </c>
      <c r="T12" s="21" t="inlineStr">
        <is>
          <t>Downloaded</t>
        </is>
      </c>
      <c r="U12" s="24" t="inlineStr">
        <is>
          <t>https://drive.google.com/file/d/1nAVg_Y7d-ohG76D-MZme6rA1rgDleGzg/view?usp=drive_link</t>
        </is>
      </c>
      <c r="V12" s="21" t="n">
        <v>316</v>
      </c>
      <c r="W12" s="21" t="n">
        <v>52</v>
      </c>
      <c r="X12" s="21" t="inlineStr">
        <is>
          <t>84204319da2c073e0c166cda880bbcb620d0fe0d2bd79a8b8c42319dce9016d6</t>
        </is>
      </c>
      <c r="Y12" s="21" t="inlineStr">
        <is>
          <t>No</t>
        </is>
      </c>
      <c r="Z12" s="21" t="n">
        <v>3</v>
      </c>
      <c r="AA12" s="21" t="inlineStr">
        <is>
          <t>document_index</t>
        </is>
      </c>
      <c r="AB12" s="21" t="n"/>
      <c r="AC12" s="19" t="n"/>
      <c r="AD12" s="21" t="inlineStr">
        <is>
          <t>From manager v0.1 pack (manifest NBA-GENERAL-2024). Verify version and dates from the PDF.</t>
        </is>
      </c>
      <c r="AE12" s="21" t="n"/>
      <c r="AF12" s="21">
        <f>IF($H12="","",IF($T12="To find","Not started",IF(($C12="")+($D12="")+($E12="")+($G12="")+($I12="")+($M12="")+($O12="")+($S12="")&gt;0,"Missing basic details",IF(AND($T12="Downloaded",($R12="")+($U12="")+($V12="")+(($W12="")*(RIGHT(LOWER($U12),4)=".pdf"))&gt;0),"Add file details",IF(AND($T12="Downloaded",LEN($X12)&lt;&gt;64),"Check SHA-256",IF(AND($Q12="",$R12=""),"Add a URL",IF($S12="No","Not official - replace",IF($M12="Not verified","Verify status","OK"))))))))</f>
        <v/>
      </c>
      <c r="AG12" s="21" t="inlineStr">
        <is>
          <t>Needs fix</t>
        </is>
      </c>
      <c r="AH12" s="21" t="inlineStr">
        <is>
          <t>Auto-QA 12-Oct-2026</t>
        </is>
      </c>
      <c r="AI12" s="21" t="inlineStr">
        <is>
          <t>1) Downloaded but missing: Version / Edition, Issued On. | 2) Set Current Status from the document (Current / Superseded ...).</t>
        </is>
      </c>
    </row>
    <row r="13" ht="14.25" customHeight="1" s="35">
      <c r="A13" s="21" t="inlineStr">
        <is>
          <t>S-009</t>
        </is>
      </c>
      <c r="B13" s="21" t="inlineStr">
        <is>
          <t>Intern A</t>
        </is>
      </c>
      <c r="C13" s="21" t="inlineStr">
        <is>
          <t>1. Accreditation &amp; Quality</t>
        </is>
      </c>
      <c r="D13" s="21" t="inlineStr">
        <is>
          <t>NBA</t>
        </is>
      </c>
      <c r="E13" s="21" t="inlineStr">
        <is>
          <t>accreditation</t>
        </is>
      </c>
      <c r="F13" s="21" t="inlineStr">
        <is>
          <t>Authoritative quality framework</t>
        </is>
      </c>
      <c r="G13" s="21" t="inlineStr">
        <is>
          <t>NBA-003</t>
        </is>
      </c>
      <c r="H13" s="21" t="inlineStr">
        <is>
          <t>NBA UG Engineering Tier II Manual</t>
        </is>
      </c>
      <c r="I13" s="21" t="inlineStr">
        <is>
          <t>Manual</t>
        </is>
      </c>
      <c r="J13" s="21" t="n"/>
      <c r="K13" s="19" t="n"/>
      <c r="L13" s="19" t="n"/>
      <c r="M13" s="21" t="inlineStr">
        <is>
          <t>Not verified</t>
        </is>
      </c>
      <c r="N13" s="21" t="n"/>
      <c r="O13" s="21" t="inlineStr">
        <is>
          <t>Affiliated engineering programmes</t>
        </is>
      </c>
      <c r="P13" s="21" t="n"/>
      <c r="Q13" s="14" t="inlineStr">
        <is>
          <t>https://www.nbaind.org/Downloads/Documents</t>
        </is>
      </c>
      <c r="R13" s="14" t="inlineStr">
        <is>
          <t>https://www.nbaind.org/files/Publication/PublicationTitles/NBA_UGEngg_Tier_II_Manual_Format_20250121123952.pdf</t>
        </is>
      </c>
      <c r="S13" s="21" t="inlineStr">
        <is>
          <t>Yes</t>
        </is>
      </c>
      <c r="T13" s="21" t="inlineStr">
        <is>
          <t>Downloaded</t>
        </is>
      </c>
      <c r="U13" s="24" t="inlineStr">
        <is>
          <t>https://drive.google.com/file/d/1nAVg_Y7d-ohG76D-MZme6rA1rgDleGzg/view?usp=drive_link</t>
        </is>
      </c>
      <c r="V13" s="21" t="n">
        <v>4659</v>
      </c>
      <c r="W13" s="21" t="n">
        <v>230</v>
      </c>
      <c r="X13" s="21" t="inlineStr">
        <is>
          <t>792a4a2c75ad936cd9d1d9e8f2023907de280576a09f8add47ab67e46d49a7f4</t>
        </is>
      </c>
      <c r="Y13" s="21" t="inlineStr">
        <is>
          <t>No</t>
        </is>
      </c>
      <c r="Z13" s="21" t="n">
        <v>3</v>
      </c>
      <c r="AA13" s="21" t="inlineStr">
        <is>
          <t>document_index</t>
        </is>
      </c>
      <c r="AB13" s="21" t="n"/>
      <c r="AC13" s="19" t="n"/>
      <c r="AD13" s="21" t="inlineStr">
        <is>
          <t>From manager v0.1 pack (manifest NBA-UG-TIER-II-2025). Verify version and dates from the PDF.</t>
        </is>
      </c>
      <c r="AE13" s="21" t="n"/>
      <c r="AF13" s="21">
        <f>IF($H13="","",IF($T13="To find","Not started",IF(($C13="")+($D13="")+($E13="")+($G13="")+($I13="")+($M13="")+($O13="")+($S13="")&gt;0,"Missing basic details",IF(AND($T13="Downloaded",($R13="")+($U13="")+($V13="")+(($W13="")*(RIGHT(LOWER($U13),4)=".pdf"))&gt;0),"Add file details",IF(AND($T13="Downloaded",LEN($X13)&lt;&gt;64),"Check SHA-256",IF(AND($Q13="",$R13=""),"Add a URL",IF($S13="No","Not official - replace",IF($M13="Not verified","Verify status","OK"))))))))</f>
        <v/>
      </c>
      <c r="AG13" s="21" t="inlineStr">
        <is>
          <t>Needs fix</t>
        </is>
      </c>
      <c r="AH13" s="21" t="inlineStr">
        <is>
          <t>Auto-QA 12-Oct-2026</t>
        </is>
      </c>
      <c r="AI13" s="21" t="inlineStr">
        <is>
          <t>1) Downloaded but missing: Version / Edition, Issued On. | 2) Set Current Status from the document (Current / Superseded ...).</t>
        </is>
      </c>
    </row>
    <row r="14" ht="14.25" customHeight="1" s="35">
      <c r="A14" s="21" t="inlineStr">
        <is>
          <t>S-010</t>
        </is>
      </c>
      <c r="B14" s="21" t="inlineStr">
        <is>
          <t>Intern A</t>
        </is>
      </c>
      <c r="C14" s="21" t="inlineStr">
        <is>
          <t>1. Accreditation &amp; Quality</t>
        </is>
      </c>
      <c r="D14" s="21" t="inlineStr">
        <is>
          <t>NBA</t>
        </is>
      </c>
      <c r="E14" s="21" t="inlineStr">
        <is>
          <t>accreditation</t>
        </is>
      </c>
      <c r="F14" s="21" t="inlineStr">
        <is>
          <t>Authoritative quality framework</t>
        </is>
      </c>
      <c r="G14" s="21" t="inlineStr">
        <is>
          <t>NBA-004</t>
        </is>
      </c>
      <c r="H14" s="21" t="inlineStr">
        <is>
          <t>NBA UG Engineering Tier I SAR / Manual</t>
        </is>
      </c>
      <c r="I14" s="21" t="inlineStr">
        <is>
          <t>SSR / QIF / SAR</t>
        </is>
      </c>
      <c r="J14" s="21" t="n"/>
      <c r="K14" s="19" t="n"/>
      <c r="L14" s="19" t="n"/>
      <c r="M14" s="21" t="inlineStr">
        <is>
          <t>Not verified</t>
        </is>
      </c>
      <c r="N14" s="21" t="n"/>
      <c r="O14" s="21" t="n"/>
      <c r="P14" s="21" t="n"/>
      <c r="Q14" s="21" t="n"/>
      <c r="R14" s="21" t="n"/>
      <c r="S14" s="21" t="n"/>
      <c r="T14" s="21" t="inlineStr">
        <is>
          <t>Downloaded</t>
        </is>
      </c>
      <c r="U14" s="24" t="inlineStr">
        <is>
          <t>https://drive.google.com/drive/folders/1pPXX8mvcFTuRihRpCImDKyImx-A1k4Ey?usp=drive_link</t>
        </is>
      </c>
      <c r="V14" s="21" t="n"/>
      <c r="W14" s="21" t="n"/>
      <c r="X14" s="21" t="n"/>
      <c r="Y14" s="21" t="inlineStr">
        <is>
          <t>No</t>
        </is>
      </c>
      <c r="Z14" s="21" t="n">
        <v>3</v>
      </c>
      <c r="AA14" s="21" t="inlineStr">
        <is>
          <t>document_index</t>
        </is>
      </c>
      <c r="AB14" s="21" t="n"/>
      <c r="AC14" s="19" t="n"/>
      <c r="AD14" s="21" t="n"/>
      <c r="AE14" s="14" t="inlineStr">
        <is>
          <t>https://www.nbaind.org/Downloads/Documents</t>
        </is>
      </c>
      <c r="AF14" s="21">
        <f>IF($H14="","",IF($T14="To find","Not started",IF(($C14="")+($D14="")+($E14="")+($G14="")+($I14="")+($M14="")+($O14="")+($S14="")&gt;0,"Missing basic details",IF(AND($T14="Downloaded",($R14="")+($U14="")+($V14="")+(($W14="")*(RIGHT(LOWER($U14),4)=".pdf"))&gt;0),"Add file details",IF(AND($T14="Downloaded",LEN($X14)&lt;&gt;64),"Check SHA-256",IF(AND($Q14="",$R14=""),"Add a URL",IF($S14="No","Not official - replace",IF($M14="Not verified","Verify status","OK"))))))))</f>
        <v/>
      </c>
      <c r="AG14" s="21" t="inlineStr">
        <is>
          <t>Needs fix</t>
        </is>
      </c>
      <c r="AH14" s="21" t="inlineStr">
        <is>
          <t>Auto-QA 12-Oct-2026</t>
        </is>
      </c>
      <c r="AI14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15" ht="14.25" customHeight="1" s="35">
      <c r="A15" s="21" t="inlineStr">
        <is>
          <t>S-011</t>
        </is>
      </c>
      <c r="B15" s="21" t="inlineStr">
        <is>
          <t>Intern A</t>
        </is>
      </c>
      <c r="C15" s="21" t="inlineStr">
        <is>
          <t>1. Accreditation &amp; Quality</t>
        </is>
      </c>
      <c r="D15" s="21" t="inlineStr">
        <is>
          <t>NBA</t>
        </is>
      </c>
      <c r="E15" s="21" t="inlineStr">
        <is>
          <t>accreditation</t>
        </is>
      </c>
      <c r="F15" s="21" t="inlineStr">
        <is>
          <t>Authoritative quality framework</t>
        </is>
      </c>
      <c r="G15" s="21" t="inlineStr">
        <is>
          <t>NBA-005</t>
        </is>
      </c>
      <c r="H15" s="21" t="inlineStr">
        <is>
          <t>NBA Diploma Engineering SAR / Manual</t>
        </is>
      </c>
      <c r="I15" s="21" t="inlineStr">
        <is>
          <t>SSR / QIF / SAR</t>
        </is>
      </c>
      <c r="J15" s="21" t="n"/>
      <c r="K15" s="19" t="n"/>
      <c r="L15" s="19" t="n"/>
      <c r="M15" s="21" t="inlineStr">
        <is>
          <t>Not verified</t>
        </is>
      </c>
      <c r="N15" s="21" t="n"/>
      <c r="O15" s="21" t="inlineStr">
        <is>
          <t>Polytechnics</t>
        </is>
      </c>
      <c r="P15" s="21" t="n"/>
      <c r="Q15" s="21" t="n"/>
      <c r="R15" s="21" t="n"/>
      <c r="S15" s="21" t="n"/>
      <c r="T15" s="21" t="inlineStr">
        <is>
          <t>Downloaded</t>
        </is>
      </c>
      <c r="U15" s="24" t="inlineStr">
        <is>
          <t>https://drive.google.com/drive/folders/1pPXX8mvcFTuRihRpCImDKyImx-A1k4Ey?usp=drive_link</t>
        </is>
      </c>
      <c r="V15" s="21" t="n"/>
      <c r="W15" s="21" t="n"/>
      <c r="X15" s="21" t="n"/>
      <c r="Y15" s="21" t="inlineStr">
        <is>
          <t>No</t>
        </is>
      </c>
      <c r="Z15" s="21" t="n">
        <v>3</v>
      </c>
      <c r="AA15" s="21" t="inlineStr">
        <is>
          <t>document_index</t>
        </is>
      </c>
      <c r="AB15" s="21" t="n"/>
      <c r="AC15" s="19" t="n"/>
      <c r="AD15" s="21" t="n"/>
      <c r="AE15" s="14" t="inlineStr">
        <is>
          <t>https://www.nbaind.org/Downloads/Documents</t>
        </is>
      </c>
      <c r="AF15" s="21">
        <f>IF($H15="","",IF($T15="To find","Not started",IF(($C15="")+($D15="")+($E15="")+($G15="")+($I15="")+($M15="")+($O15="")+($S15="")&gt;0,"Missing basic details",IF(AND($T15="Downloaded",($R15="")+($U15="")+($V15="")+(($W15="")*(RIGHT(LOWER($U15),4)=".pdf"))&gt;0),"Add file details",IF(AND($T15="Downloaded",LEN($X15)&lt;&gt;64),"Check SHA-256",IF(AND($Q15="",$R15=""),"Add a URL",IF($S15="No","Not official - replace",IF($M15="Not verified","Verify status","OK"))))))))</f>
        <v/>
      </c>
      <c r="AG15" s="21" t="inlineStr">
        <is>
          <t>Needs fix</t>
        </is>
      </c>
      <c r="AH15" s="21" t="inlineStr">
        <is>
          <t>Auto-QA 12-Oct-2026</t>
        </is>
      </c>
      <c r="AI15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</t>
        </is>
      </c>
    </row>
    <row r="16" ht="14.25" customHeight="1" s="35">
      <c r="A16" s="21" t="inlineStr">
        <is>
          <t>S-012</t>
        </is>
      </c>
      <c r="B16" s="21" t="inlineStr">
        <is>
          <t>Intern A</t>
        </is>
      </c>
      <c r="C16" s="21" t="inlineStr">
        <is>
          <t>1. Accreditation &amp; Quality</t>
        </is>
      </c>
      <c r="D16" s="21" t="inlineStr">
        <is>
          <t>NBA</t>
        </is>
      </c>
      <c r="E16" s="21" t="inlineStr">
        <is>
          <t>accreditation</t>
        </is>
      </c>
      <c r="F16" s="21" t="inlineStr">
        <is>
          <t>Authoritative quality framework</t>
        </is>
      </c>
      <c r="G16" s="21" t="inlineStr">
        <is>
          <t>NBA-006</t>
        </is>
      </c>
      <c r="H16" s="21" t="inlineStr">
        <is>
          <t>NBA PG Engineering SAR / Manual</t>
        </is>
      </c>
      <c r="I16" s="21" t="inlineStr">
        <is>
          <t>SSR / QIF / SAR</t>
        </is>
      </c>
      <c r="J16" s="21" t="n"/>
      <c r="K16" s="19" t="n"/>
      <c r="L16" s="19" t="n"/>
      <c r="M16" s="21" t="inlineStr">
        <is>
          <t>Not verified</t>
        </is>
      </c>
      <c r="N16" s="21" t="n"/>
      <c r="O16" s="21" t="n"/>
      <c r="P16" s="21" t="n"/>
      <c r="Q16" s="21" t="n"/>
      <c r="R16" s="21" t="n"/>
      <c r="S16" s="21" t="n"/>
      <c r="T16" s="21" t="inlineStr">
        <is>
          <t>Downloaded</t>
        </is>
      </c>
      <c r="U16" s="24" t="inlineStr">
        <is>
          <t>https://drive.google.com/drive/folders/1pPXX8mvcFTuRihRpCImDKyImx-A1k4Ey?usp=drive_link</t>
        </is>
      </c>
      <c r="V16" s="21" t="n"/>
      <c r="W16" s="21" t="n"/>
      <c r="X16" s="21" t="n"/>
      <c r="Y16" s="21" t="inlineStr">
        <is>
          <t>No</t>
        </is>
      </c>
      <c r="Z16" s="21" t="n">
        <v>3</v>
      </c>
      <c r="AA16" s="21" t="inlineStr">
        <is>
          <t>document_index</t>
        </is>
      </c>
      <c r="AB16" s="21" t="n"/>
      <c r="AC16" s="19" t="n"/>
      <c r="AD16" s="21" t="n"/>
      <c r="AE16" s="14" t="inlineStr">
        <is>
          <t>https://www.nbaind.org/Downloads/Documents</t>
        </is>
      </c>
      <c r="AF16" s="21">
        <f>IF($H16="","",IF($T16="To find","Not started",IF(($C16="")+($D16="")+($E16="")+($G16="")+($I16="")+($M16="")+($O16="")+($S16="")&gt;0,"Missing basic details",IF(AND($T16="Downloaded",($R16="")+($U16="")+($V16="")+(($W16="")*(RIGHT(LOWER($U16),4)=".pdf"))&gt;0),"Add file details",IF(AND($T16="Downloaded",LEN($X16)&lt;&gt;64),"Check SHA-256",IF(AND($Q16="",$R16=""),"Add a URL",IF($S16="No","Not official - replace",IF($M16="Not verified","Verify status","OK"))))))))</f>
        <v/>
      </c>
      <c r="AG16" s="21" t="inlineStr">
        <is>
          <t>Needs fix</t>
        </is>
      </c>
      <c r="AH16" s="21" t="inlineStr">
        <is>
          <t>Auto-QA 12-Oct-2026</t>
        </is>
      </c>
      <c r="AI16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17" ht="14.25" customHeight="1" s="35">
      <c r="A17" s="21" t="inlineStr">
        <is>
          <t>S-013</t>
        </is>
      </c>
      <c r="B17" s="21" t="inlineStr">
        <is>
          <t>Intern A</t>
        </is>
      </c>
      <c r="C17" s="21" t="inlineStr">
        <is>
          <t>1. Accreditation &amp; Quality</t>
        </is>
      </c>
      <c r="D17" s="21" t="inlineStr">
        <is>
          <t>NBA</t>
        </is>
      </c>
      <c r="E17" s="21" t="inlineStr">
        <is>
          <t>accreditation</t>
        </is>
      </c>
      <c r="F17" s="21" t="inlineStr">
        <is>
          <t>Authoritative quality framework</t>
        </is>
      </c>
      <c r="G17" s="21" t="inlineStr">
        <is>
          <t>NBA-007</t>
        </is>
      </c>
      <c r="H17" s="21" t="inlineStr">
        <is>
          <t>NBA Management (MBA / PGDM) SAR / Manual</t>
        </is>
      </c>
      <c r="I17" s="21" t="inlineStr">
        <is>
          <t>SSR / QIF / SAR</t>
        </is>
      </c>
      <c r="J17" s="21" t="n"/>
      <c r="K17" s="19" t="n"/>
      <c r="L17" s="19" t="n"/>
      <c r="M17" s="21" t="inlineStr">
        <is>
          <t>Not verified</t>
        </is>
      </c>
      <c r="N17" s="21" t="n"/>
      <c r="O17" s="21" t="n"/>
      <c r="P17" s="21" t="n"/>
      <c r="Q17" s="21" t="n"/>
      <c r="R17" s="21" t="n"/>
      <c r="S17" s="21" t="n"/>
      <c r="T17" s="21" t="inlineStr">
        <is>
          <t>Downloaded</t>
        </is>
      </c>
      <c r="U17" s="24" t="inlineStr">
        <is>
          <t>https://drive.google.com/drive/folders/1pPXX8mvcFTuRihRpCImDKyImx-A1k4Ey?usp=drive_link</t>
        </is>
      </c>
      <c r="V17" s="21" t="n"/>
      <c r="W17" s="21" t="n"/>
      <c r="X17" s="21" t="n"/>
      <c r="Y17" s="21" t="inlineStr">
        <is>
          <t>No</t>
        </is>
      </c>
      <c r="Z17" s="21" t="n">
        <v>3</v>
      </c>
      <c r="AA17" s="21" t="inlineStr">
        <is>
          <t>document_index</t>
        </is>
      </c>
      <c r="AB17" s="21" t="n"/>
      <c r="AC17" s="19" t="n"/>
      <c r="AD17" s="21" t="n"/>
      <c r="AE17" s="14" t="inlineStr">
        <is>
          <t>https://www.nbaind.org/Downloads/Documents</t>
        </is>
      </c>
      <c r="AF17" s="21">
        <f>IF($H17="","",IF($T17="To find","Not started",IF(($C17="")+($D17="")+($E17="")+($G17="")+($I17="")+($M17="")+($O17="")+($S17="")&gt;0,"Missing basic details",IF(AND($T17="Downloaded",($R17="")+($U17="")+($V17="")+(($W17="")*(RIGHT(LOWER($U17),4)=".pdf"))&gt;0),"Add file details",IF(AND($T17="Downloaded",LEN($X17)&lt;&gt;64),"Check SHA-256",IF(AND($Q17="",$R17=""),"Add a URL",IF($S17="No","Not official - replace",IF($M17="Not verified","Verify status","OK"))))))))</f>
        <v/>
      </c>
      <c r="AG17" s="21" t="inlineStr">
        <is>
          <t>Needs fix</t>
        </is>
      </c>
      <c r="AH17" s="21" t="inlineStr">
        <is>
          <t>Auto-QA 12-Oct-2026</t>
        </is>
      </c>
      <c r="AI17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18" ht="14.25" customHeight="1" s="35">
      <c r="A18" s="21" t="inlineStr">
        <is>
          <t>S-014</t>
        </is>
      </c>
      <c r="B18" s="21" t="inlineStr">
        <is>
          <t>Intern A</t>
        </is>
      </c>
      <c r="C18" s="21" t="inlineStr">
        <is>
          <t>1. Accreditation &amp; Quality</t>
        </is>
      </c>
      <c r="D18" s="21" t="inlineStr">
        <is>
          <t>NBA</t>
        </is>
      </c>
      <c r="E18" s="21" t="inlineStr">
        <is>
          <t>accreditation</t>
        </is>
      </c>
      <c r="F18" s="21" t="inlineStr">
        <is>
          <t>Authoritative quality framework</t>
        </is>
      </c>
      <c r="G18" s="21" t="inlineStr">
        <is>
          <t>NBA-008</t>
        </is>
      </c>
      <c r="H18" s="21" t="inlineStr">
        <is>
          <t>NBA Pre-Qualifiers (one row per programme type)</t>
        </is>
      </c>
      <c r="I18" s="21" t="inlineStr">
        <is>
          <t>Manual</t>
        </is>
      </c>
      <c r="J18" s="21" t="n"/>
      <c r="K18" s="19" t="n"/>
      <c r="L18" s="19" t="n"/>
      <c r="M18" s="21" t="inlineStr">
        <is>
          <t>Not verified</t>
        </is>
      </c>
      <c r="N18" s="21" t="n"/>
      <c r="O18" s="21" t="n"/>
      <c r="P18" s="21" t="n"/>
      <c r="Q18" s="21" t="n"/>
      <c r="R18" s="21" t="n"/>
      <c r="S18" s="21" t="n"/>
      <c r="T18" s="21" t="inlineStr">
        <is>
          <t>Downloaded</t>
        </is>
      </c>
      <c r="U18" s="24" t="inlineStr">
        <is>
          <t>https://drive.google.com/drive/folders/1pPXX8mvcFTuRihRpCImDKyImx-A1k4Ey?usp=drive_link</t>
        </is>
      </c>
      <c r="V18" s="21" t="n"/>
      <c r="W18" s="21" t="n"/>
      <c r="X18" s="21" t="n"/>
      <c r="Y18" s="21" t="inlineStr">
        <is>
          <t>No</t>
        </is>
      </c>
      <c r="Z18" s="21" t="n">
        <v>3</v>
      </c>
      <c r="AA18" s="21" t="inlineStr">
        <is>
          <t>document_index</t>
        </is>
      </c>
      <c r="AB18" s="21" t="n"/>
      <c r="AC18" s="19" t="n"/>
      <c r="AD18" s="21" t="inlineStr">
        <is>
          <t>Add one row per programme type you find.</t>
        </is>
      </c>
      <c r="AE18" s="14" t="inlineStr">
        <is>
          <t>https://www.nbaind.org/Downloads/Documents</t>
        </is>
      </c>
      <c r="AF18" s="21">
        <f>IF($H18="","",IF($T18="To find","Not started",IF(($C18="")+($D18="")+($E18="")+($G18="")+($I18="")+($M18="")+($O18="")+($S18="")&gt;0,"Missing basic details",IF(AND($T18="Downloaded",($R18="")+($U18="")+($V18="")+(($W18="")*(RIGHT(LOWER($U18),4)=".pdf"))&gt;0),"Add file details",IF(AND($T18="Downloaded",LEN($X18)&lt;&gt;64),"Check SHA-256",IF(AND($Q18="",$R18=""),"Add a URL",IF($S18="No","Not official - replace",IF($M18="Not verified","Verify status","OK"))))))))</f>
        <v/>
      </c>
      <c r="AG18" s="21" t="inlineStr">
        <is>
          <t>Needs fix</t>
        </is>
      </c>
      <c r="AH18" s="21" t="inlineStr">
        <is>
          <t>Auto-QA 12-Oct-2026</t>
        </is>
      </c>
      <c r="AI18" s="21" t="inlineStr">
        <is>
          <t>1) Title is still the template placeholder - replace with the exact official title, one row per document (add rows for the others). | 2) Drive link is a FOLDER - link the exact file (drive.google.com/file/d/...). | 3) Downloaded but missing: Direct Document URL, File Size (KB), SHA-256 Checksum, Version / Edition, Issued On. | 4) Set Current Status from the document (Current / Superseded ...). | 5) Fill "Applies To".</t>
        </is>
      </c>
    </row>
    <row r="19" ht="14.25" customHeight="1" s="35">
      <c r="A19" s="21" t="inlineStr">
        <is>
          <t>S-015</t>
        </is>
      </c>
      <c r="B19" s="21" t="inlineStr">
        <is>
          <t>Intern A</t>
        </is>
      </c>
      <c r="C19" s="21" t="inlineStr">
        <is>
          <t>1. Accreditation &amp; Quality</t>
        </is>
      </c>
      <c r="D19" s="21" t="inlineStr">
        <is>
          <t>NBA</t>
        </is>
      </c>
      <c r="E19" s="21" t="inlineStr">
        <is>
          <t>accreditation</t>
        </is>
      </c>
      <c r="F19" s="21" t="inlineStr">
        <is>
          <t>Authoritative quality framework</t>
        </is>
      </c>
      <c r="G19" s="21" t="inlineStr">
        <is>
          <t>NBA-009</t>
        </is>
      </c>
      <c r="H19" s="21" t="inlineStr">
        <is>
          <t>NBA Evaluation Guidelines and visit-document list</t>
        </is>
      </c>
      <c r="I19" s="21" t="inlineStr">
        <is>
          <t>Guideline</t>
        </is>
      </c>
      <c r="J19" s="21" t="n"/>
      <c r="K19" s="19" t="n"/>
      <c r="L19" s="19" t="n"/>
      <c r="M19" s="21" t="inlineStr">
        <is>
          <t>Not verified</t>
        </is>
      </c>
      <c r="N19" s="21" t="n"/>
      <c r="O19" s="21" t="n"/>
      <c r="P19" s="21" t="n"/>
      <c r="Q19" s="21" t="n"/>
      <c r="R19" s="21" t="n"/>
      <c r="S19" s="21" t="n"/>
      <c r="T19" s="21" t="inlineStr">
        <is>
          <t>Downloaded</t>
        </is>
      </c>
      <c r="U19" s="24" t="inlineStr">
        <is>
          <t>https://drive.google.com/drive/folders/1pPXX8mvcFTuRihRpCImDKyImx-A1k4Ey?usp=drive_link</t>
        </is>
      </c>
      <c r="V19" s="21" t="n"/>
      <c r="W19" s="21" t="n"/>
      <c r="X19" s="21" t="n"/>
      <c r="Y19" s="21" t="inlineStr">
        <is>
          <t>No</t>
        </is>
      </c>
      <c r="Z19" s="21" t="n">
        <v>3</v>
      </c>
      <c r="AA19" s="21" t="inlineStr">
        <is>
          <t>document_index</t>
        </is>
      </c>
      <c r="AB19" s="21" t="n"/>
      <c r="AC19" s="19" t="n"/>
      <c r="AD19" s="21" t="n"/>
      <c r="AE19" s="14" t="inlineStr">
        <is>
          <t>https://www.nbaind.org/Downloads/Documents</t>
        </is>
      </c>
      <c r="AF19" s="21">
        <f>IF($H19="","",IF($T19="To find","Not started",IF(($C19="")+($D19="")+($E19="")+($G19="")+($I19="")+($M19="")+($O19="")+($S19="")&gt;0,"Missing basic details",IF(AND($T19="Downloaded",($R19="")+($U19="")+($V19="")+(($W19="")*(RIGHT(LOWER($U19),4)=".pdf"))&gt;0),"Add file details",IF(AND($T19="Downloaded",LEN($X19)&lt;&gt;64),"Check SHA-256",IF(AND($Q19="",$R19=""),"Add a URL",IF($S19="No","Not official - replace",IF($M19="Not verified","Verify status","OK"))))))))</f>
        <v/>
      </c>
      <c r="AG19" s="21" t="inlineStr">
        <is>
          <t>Needs fix</t>
        </is>
      </c>
      <c r="AH19" s="21" t="inlineStr">
        <is>
          <t>Auto-QA 12-Oct-2026</t>
        </is>
      </c>
      <c r="AI19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20" ht="14.25" customHeight="1" s="35">
      <c r="A20" s="21" t="inlineStr">
        <is>
          <t>S-016</t>
        </is>
      </c>
      <c r="B20" s="21" t="inlineStr">
        <is>
          <t>Intern A</t>
        </is>
      </c>
      <c r="C20" s="21" t="inlineStr">
        <is>
          <t>1. Accreditation &amp; Quality</t>
        </is>
      </c>
      <c r="D20" s="21" t="inlineStr">
        <is>
          <t>NIRF</t>
        </is>
      </c>
      <c r="E20" s="21" t="inlineStr">
        <is>
          <t>ranking</t>
        </is>
      </c>
      <c r="F20" s="21" t="inlineStr">
        <is>
          <t>Authoritative quality framework</t>
        </is>
      </c>
      <c r="G20" s="21" t="inlineStr">
        <is>
          <t>NIRF-001</t>
        </is>
      </c>
      <c r="H20" s="21" t="inlineStr">
        <is>
          <t>NIRF Documents portal (register snapshot)</t>
        </is>
      </c>
      <c r="I20" s="21" t="inlineStr">
        <is>
          <t>Register page</t>
        </is>
      </c>
      <c r="J20" s="21" t="n"/>
      <c r="K20" s="19" t="n"/>
      <c r="L20" s="19" t="n"/>
      <c r="M20" s="21" t="inlineStr">
        <is>
          <t>Not verified</t>
        </is>
      </c>
      <c r="N20" s="21" t="n"/>
      <c r="O20" s="21" t="inlineStr">
        <is>
          <t>Eligible HEIs</t>
        </is>
      </c>
      <c r="P20" s="21" t="n"/>
      <c r="Q20" s="14" t="inlineStr">
        <is>
          <t>https://www.nirfindia.org/Home/Documents</t>
        </is>
      </c>
      <c r="R20" s="14" t="inlineStr">
        <is>
          <t>https://www.nirfindia.org/Home/Documents</t>
        </is>
      </c>
      <c r="S20" s="21" t="inlineStr">
        <is>
          <t>Yes</t>
        </is>
      </c>
      <c r="T20" s="21" t="inlineStr">
        <is>
          <t>Downloaded</t>
        </is>
      </c>
      <c r="U20" s="24" t="inlineStr">
        <is>
          <t>https://drive.google.com/drive/folders/1YeYVR0csD4GIeFYpq0YxGOtX83Hnj4ya?usp=drive_link</t>
        </is>
      </c>
      <c r="V20" s="21" t="n">
        <v>24</v>
      </c>
      <c r="W20" s="21" t="n"/>
      <c r="X20" s="21" t="inlineStr">
        <is>
          <t>221c7924fb4a2787ebc06b83d9306c53bf5de3a6720da93825b02b2578d17293</t>
        </is>
      </c>
      <c r="Y20" s="21" t="inlineStr">
        <is>
          <t>No</t>
        </is>
      </c>
      <c r="Z20" s="21" t="n">
        <v>12</v>
      </c>
      <c r="AA20" s="21" t="inlineStr">
        <is>
          <t>document_index</t>
        </is>
      </c>
      <c r="AB20" s="21" t="n"/>
      <c r="AC20" s="19" t="n"/>
      <c r="AD20" s="21" t="inlineStr">
        <is>
          <t>Snapshot from manager v0.1 pack. Use this page to find NIRF-002 and NIRF-003.</t>
        </is>
      </c>
      <c r="AE20" s="21" t="n"/>
      <c r="AF20" s="21">
        <f>IF($H20="","",IF($T20="To find","Not started",IF(($C20="")+($D20="")+($E20="")+($G20="")+($I20="")+($M20="")+($O20="")+($S20="")&gt;0,"Missing basic details",IF(AND($T20="Downloaded",($R20="")+($U20="")+($V20="")+(($W20="")*(RIGHT(LOWER($U20),4)=".pdf"))&gt;0),"Add file details",IF(AND($T20="Downloaded",LEN($X20)&lt;&gt;64),"Check SHA-256",IF(AND($Q20="",$R20=""),"Add a URL",IF($S20="No","Not official - replace",IF($M20="Not verified","Verify status","OK"))))))))</f>
        <v/>
      </c>
      <c r="AG20" s="21" t="inlineStr">
        <is>
          <t>Needs fix</t>
        </is>
      </c>
      <c r="AH20" s="21" t="inlineStr">
        <is>
          <t>Auto-QA 12-Oct-2026</t>
        </is>
      </c>
      <c r="AI20" s="21" t="inlineStr">
        <is>
          <t>1) Drive link is a FOLDER - link the exact file (drive.google.com/file/d/...). | 2) Downloaded but missing: Version / Edition, Issued On. | 3) Set Current Status from the document (Current / Superseded ...).</t>
        </is>
      </c>
    </row>
    <row r="21" ht="14.25" customHeight="1" s="35">
      <c r="A21" s="21" t="inlineStr">
        <is>
          <t>S-017</t>
        </is>
      </c>
      <c r="B21" s="21" t="inlineStr">
        <is>
          <t>Intern A</t>
        </is>
      </c>
      <c r="C21" s="21" t="inlineStr">
        <is>
          <t>1. Accreditation &amp; Quality</t>
        </is>
      </c>
      <c r="D21" s="21" t="inlineStr">
        <is>
          <t>NIRF</t>
        </is>
      </c>
      <c r="E21" s="21" t="inlineStr">
        <is>
          <t>ranking</t>
        </is>
      </c>
      <c r="F21" s="21" t="inlineStr">
        <is>
          <t>Authoritative quality framework</t>
        </is>
      </c>
      <c r="G21" s="21" t="inlineStr">
        <is>
          <t>NIRF-002</t>
        </is>
      </c>
      <c r="H21" s="21" t="inlineStr">
        <is>
          <t>NIRF ranking methodology - overall and category-wise</t>
        </is>
      </c>
      <c r="I21" s="21" t="inlineStr">
        <is>
          <t>Methodology</t>
        </is>
      </c>
      <c r="J21" s="21" t="n"/>
      <c r="K21" s="19" t="n"/>
      <c r="L21" s="19" t="n"/>
      <c r="M21" s="21" t="inlineStr">
        <is>
          <t>Not verified</t>
        </is>
      </c>
      <c r="N21" s="21" t="n"/>
      <c r="O21" s="21" t="inlineStr">
        <is>
          <t>Eligible HEIs</t>
        </is>
      </c>
      <c r="P21" s="21" t="n"/>
      <c r="Q21" s="21" t="n"/>
      <c r="R21" s="21" t="n"/>
      <c r="S21" s="21" t="n"/>
      <c r="T21" s="21" t="inlineStr">
        <is>
          <t>Downloaded</t>
        </is>
      </c>
      <c r="U21" s="24" t="inlineStr">
        <is>
          <t>https://drive.google.com/drive/folders/1YeYVR0csD4GIeFYpq0YxGOtX83Hnj4ya?usp=drive_link</t>
        </is>
      </c>
      <c r="V21" s="21" t="n"/>
      <c r="W21" s="21" t="n"/>
      <c r="X21" s="21" t="n"/>
      <c r="Y21" s="21" t="inlineStr">
        <is>
          <t>No</t>
        </is>
      </c>
      <c r="Z21" s="21" t="n">
        <v>12</v>
      </c>
      <c r="AA21" s="21" t="inlineStr">
        <is>
          <t>document_index</t>
        </is>
      </c>
      <c r="AB21" s="21" t="n"/>
      <c r="AC21" s="19" t="n"/>
      <c r="AD21" s="21" t="inlineStr">
        <is>
          <t>Add one row per category methodology.</t>
        </is>
      </c>
      <c r="AE21" s="14" t="inlineStr">
        <is>
          <t>https://www.nirfindia.org/Home/Documents</t>
        </is>
      </c>
      <c r="AF21" s="21">
        <f>IF($H21="","",IF($T21="To find","Not started",IF(($C21="")+($D21="")+($E21="")+($G21="")+($I21="")+($M21="")+($O21="")+($S21="")&gt;0,"Missing basic details",IF(AND($T21="Downloaded",($R21="")+($U21="")+($V21="")+(($W21="")*(RIGHT(LOWER($U21),4)=".pdf"))&gt;0),"Add file details",IF(AND($T21="Downloaded",LEN($X21)&lt;&gt;64),"Check SHA-256",IF(AND($Q21="",$R21=""),"Add a URL",IF($S21="No","Not official - replace",IF($M21="Not verified","Verify status","OK"))))))))</f>
        <v/>
      </c>
      <c r="AG21" s="21" t="inlineStr">
        <is>
          <t>Needs fix</t>
        </is>
      </c>
      <c r="AH21" s="21" t="inlineStr">
        <is>
          <t>Auto-QA 12-Oct-2026</t>
        </is>
      </c>
      <c r="AI21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</t>
        </is>
      </c>
    </row>
    <row r="22" ht="14.25" customHeight="1" s="35">
      <c r="A22" s="21" t="inlineStr">
        <is>
          <t>S-018</t>
        </is>
      </c>
      <c r="B22" s="21" t="inlineStr">
        <is>
          <t>Intern A</t>
        </is>
      </c>
      <c r="C22" s="21" t="inlineStr">
        <is>
          <t>1. Accreditation &amp; Quality</t>
        </is>
      </c>
      <c r="D22" s="21" t="inlineStr">
        <is>
          <t>NIRF</t>
        </is>
      </c>
      <c r="E22" s="21" t="inlineStr">
        <is>
          <t>ranking</t>
        </is>
      </c>
      <c r="F22" s="21" t="inlineStr">
        <is>
          <t>Authoritative quality framework</t>
        </is>
      </c>
      <c r="G22" s="21" t="inlineStr">
        <is>
          <t>NIRF-003</t>
        </is>
      </c>
      <c r="H22" s="21" t="inlineStr">
        <is>
          <t>NIRF Data Capturing System (DCS) manual and parameter definitions</t>
        </is>
      </c>
      <c r="I22" s="21" t="inlineStr">
        <is>
          <t>Manual</t>
        </is>
      </c>
      <c r="J22" s="21" t="n"/>
      <c r="K22" s="19" t="n"/>
      <c r="L22" s="19" t="n"/>
      <c r="M22" s="21" t="inlineStr">
        <is>
          <t>Not verified</t>
        </is>
      </c>
      <c r="N22" s="21" t="n"/>
      <c r="O22" s="21" t="inlineStr">
        <is>
          <t>Eligible HEIs</t>
        </is>
      </c>
      <c r="P22" s="21" t="n"/>
      <c r="Q22" s="21" t="n"/>
      <c r="R22" s="21" t="n"/>
      <c r="S22" s="21" t="n"/>
      <c r="T22" s="21" t="inlineStr">
        <is>
          <t>Downloaded</t>
        </is>
      </c>
      <c r="U22" s="24" t="inlineStr">
        <is>
          <t>https://drive.google.com/drive/folders/1YeYVR0csD4GIeFYpq0YxGOtX83Hnj4ya?usp=drive_link</t>
        </is>
      </c>
      <c r="V22" s="21" t="n"/>
      <c r="W22" s="21" t="n"/>
      <c r="X22" s="21" t="n"/>
      <c r="Y22" s="21" t="inlineStr">
        <is>
          <t>No</t>
        </is>
      </c>
      <c r="Z22" s="21" t="n">
        <v>12</v>
      </c>
      <c r="AA22" s="21" t="inlineStr">
        <is>
          <t>document_index</t>
        </is>
      </c>
      <c r="AB22" s="21" t="n"/>
      <c r="AC22" s="19" t="n"/>
      <c r="AD22" s="21" t="n"/>
      <c r="AE22" s="14" t="inlineStr">
        <is>
          <t>https://www.nirfindia.org/Home/Documents</t>
        </is>
      </c>
      <c r="AF22" s="21">
        <f>IF($H22="","",IF($T22="To find","Not started",IF(($C22="")+($D22="")+($E22="")+($G22="")+($I22="")+($M22="")+($O22="")+($S22="")&gt;0,"Missing basic details",IF(AND($T22="Downloaded",($R22="")+($U22="")+($V22="")+(($W22="")*(RIGHT(LOWER($U22),4)=".pdf"))&gt;0),"Add file details",IF(AND($T22="Downloaded",LEN($X22)&lt;&gt;64),"Check SHA-256",IF(AND($Q22="",$R22=""),"Add a URL",IF($S22="No","Not official - replace",IF($M22="Not verified","Verify status","OK"))))))))</f>
        <v/>
      </c>
      <c r="AG22" s="21" t="inlineStr">
        <is>
          <t>Needs fix</t>
        </is>
      </c>
      <c r="AH22" s="21" t="inlineStr">
        <is>
          <t>Auto-QA 12-Oct-2026</t>
        </is>
      </c>
      <c r="AI22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</t>
        </is>
      </c>
    </row>
    <row r="23" ht="14.25" customHeight="1" s="35">
      <c r="A23" s="21" t="inlineStr">
        <is>
          <t>S-019</t>
        </is>
      </c>
      <c r="B23" s="21" t="inlineStr">
        <is>
          <t>Intern A</t>
        </is>
      </c>
      <c r="C23" s="21" t="inlineStr">
        <is>
          <t>2. Higher-Education Regulation</t>
        </is>
      </c>
      <c r="D23" s="21" t="inlineStr">
        <is>
          <t>UGC</t>
        </is>
      </c>
      <c r="E23" s="21" t="inlineStr">
        <is>
          <t>regulatory</t>
        </is>
      </c>
      <c r="F23" s="21" t="inlineStr">
        <is>
          <t>Mandatory</t>
        </is>
      </c>
      <c r="G23" s="21" t="inlineStr">
        <is>
          <t>UGC-001</t>
        </is>
      </c>
      <c r="H23" s="21" t="inlineStr">
        <is>
          <t>UGC Regulations register (register snapshot)</t>
        </is>
      </c>
      <c r="I23" s="21" t="inlineStr">
        <is>
          <t>Register page</t>
        </is>
      </c>
      <c r="J23" s="21" t="n"/>
      <c r="K23" s="19" t="n"/>
      <c r="L23" s="19" t="n"/>
      <c r="M23" s="21" t="inlineStr">
        <is>
          <t>Not verified</t>
        </is>
      </c>
      <c r="N23" s="21" t="n"/>
      <c r="O23" s="21" t="inlineStr">
        <is>
          <t>HEIs</t>
        </is>
      </c>
      <c r="P23" s="21" t="n"/>
      <c r="Q23" s="14" t="inlineStr">
        <is>
          <t>https://www.ugc.gov.in/Regulations</t>
        </is>
      </c>
      <c r="R23" s="22" t="inlineStr">
        <is>
          <t>https://www.ugc.gov.in/Regulations</t>
        </is>
      </c>
      <c r="S23" s="21" t="inlineStr">
        <is>
          <t>Yes</t>
        </is>
      </c>
      <c r="T23" s="21" t="inlineStr">
        <is>
          <t>Downloaded</t>
        </is>
      </c>
      <c r="U23" s="24" t="inlineStr">
        <is>
          <t>https://drive.google.com/drive/folders/1ZHdieeVU_fvMWe8NT_z3RLyr0nvQ5419?usp=drive_link</t>
        </is>
      </c>
      <c r="V23" s="21" t="n">
        <v>137</v>
      </c>
      <c r="W23" s="21" t="n"/>
      <c r="X23" s="21" t="inlineStr">
        <is>
          <t>e87101365423d386be1724200cc838210e19dd8adad0c6566f779e2433160895</t>
        </is>
      </c>
      <c r="Y23" s="21" t="inlineStr">
        <is>
          <t>No</t>
        </is>
      </c>
      <c r="Z23" s="21" t="n">
        <v>1</v>
      </c>
      <c r="AA23" s="21" t="inlineStr">
        <is>
          <t>document_index</t>
        </is>
      </c>
      <c r="AB23" s="21" t="n"/>
      <c r="AC23" s="19" t="n"/>
      <c r="AD23" s="21" t="inlineStr">
        <is>
          <t>Snapshot from manager v0.1 pack. Main starting point for UGC-003 to UGC-022.</t>
        </is>
      </c>
      <c r="AE23" s="21" t="n"/>
      <c r="AF23" s="21">
        <f>IF($H23="","",IF($T23="To find","Not started",IF(($C23="")+($D23="")+($E23="")+($G23="")+($I23="")+($M23="")+($O23="")+($S23="")&gt;0,"Missing basic details",IF(AND($T23="Downloaded",($R23="")+($U23="")+($V23="")+(($W23="")*(RIGHT(LOWER($U23),4)=".pdf"))&gt;0),"Add file details",IF(AND($T23="Downloaded",LEN($X23)&lt;&gt;64),"Check SHA-256",IF(AND($Q23="",$R23=""),"Add a URL",IF($S23="No","Not official - replace",IF($M23="Not verified","Verify status","OK"))))))))</f>
        <v/>
      </c>
      <c r="AG23" s="21" t="inlineStr">
        <is>
          <t>Needs fix</t>
        </is>
      </c>
      <c r="AH23" s="21" t="inlineStr">
        <is>
          <t>Auto-QA 12-Oct-2026</t>
        </is>
      </c>
      <c r="AI23" s="21" t="inlineStr">
        <is>
          <t>1) Drive link is a FOLDER - link the exact file (drive.google.com/file/d/...). | 2) Downloaded but missing: Version / Edition, Issued On. | 3) Set Current Status from the document (Current / Superseded ...).</t>
        </is>
      </c>
    </row>
    <row r="24" ht="14.25" customHeight="1" s="35">
      <c r="A24" s="21" t="inlineStr">
        <is>
          <t>S-020</t>
        </is>
      </c>
      <c r="B24" s="21" t="inlineStr">
        <is>
          <t>Intern A</t>
        </is>
      </c>
      <c r="C24" s="21" t="inlineStr">
        <is>
          <t>2. Higher-Education Regulation</t>
        </is>
      </c>
      <c r="D24" s="21" t="inlineStr">
        <is>
          <t>UGC</t>
        </is>
      </c>
      <c r="E24" s="21" t="inlineStr">
        <is>
          <t>regulatory</t>
        </is>
      </c>
      <c r="F24" s="21" t="inlineStr">
        <is>
          <t>Good-practice standard</t>
        </is>
      </c>
      <c r="G24" s="21" t="inlineStr">
        <is>
          <t>UGC-002</t>
        </is>
      </c>
      <c r="H24" s="21" t="inlineStr">
        <is>
          <t>UGC Guidelines register (register snapshot)</t>
        </is>
      </c>
      <c r="I24" s="21" t="inlineStr">
        <is>
          <t>Register page</t>
        </is>
      </c>
      <c r="J24" s="21" t="n"/>
      <c r="K24" s="19" t="n"/>
      <c r="L24" s="19" t="n"/>
      <c r="M24" s="21" t="inlineStr">
        <is>
          <t>Not verified</t>
        </is>
      </c>
      <c r="N24" s="21" t="n"/>
      <c r="O24" s="21" t="inlineStr">
        <is>
          <t>HEIs</t>
        </is>
      </c>
      <c r="P24" s="21" t="n"/>
      <c r="Q24" s="14" t="inlineStr">
        <is>
          <t>https://www.ugc.gov.in/Guideline</t>
        </is>
      </c>
      <c r="R24" s="14" t="inlineStr">
        <is>
          <t>https://www.ugc.gov.in/Guideline</t>
        </is>
      </c>
      <c r="S24" s="21" t="inlineStr">
        <is>
          <t>Yes</t>
        </is>
      </c>
      <c r="T24" s="21" t="inlineStr">
        <is>
          <t>Downloaded</t>
        </is>
      </c>
      <c r="U24" s="24" t="inlineStr">
        <is>
          <t>https://drive.google.com/drive/folders/1ZHdieeVU_fvMWe8NT_z3RLyr0nvQ5419?usp=drive_link</t>
        </is>
      </c>
      <c r="V24" s="21" t="n">
        <v>98</v>
      </c>
      <c r="W24" s="21" t="n"/>
      <c r="X24" s="21" t="inlineStr">
        <is>
          <t>1039c92b2a08b7333d78db48dc003ddfbe64df2a05d1c99c75f7407d6e97c808</t>
        </is>
      </c>
      <c r="Y24" s="21" t="inlineStr">
        <is>
          <t>No</t>
        </is>
      </c>
      <c r="Z24" s="21" t="n">
        <v>1</v>
      </c>
      <c r="AA24" s="21" t="inlineStr">
        <is>
          <t>document_index</t>
        </is>
      </c>
      <c r="AB24" s="21" t="n"/>
      <c r="AC24" s="19" t="n"/>
      <c r="AD24" s="21" t="inlineStr">
        <is>
          <t>Snapshot from manager v0.1 pack.</t>
        </is>
      </c>
      <c r="AE24" s="21" t="n"/>
      <c r="AF24" s="21">
        <f>IF($H24="","",IF($T24="To find","Not started",IF(($C24="")+($D24="")+($E24="")+($G24="")+($I24="")+($M24="")+($O24="")+($S24="")&gt;0,"Missing basic details",IF(AND($T24="Downloaded",($R24="")+($U24="")+($V24="")+(($W24="")*(RIGHT(LOWER($U24),4)=".pdf"))&gt;0),"Add file details",IF(AND($T24="Downloaded",LEN($X24)&lt;&gt;64),"Check SHA-256",IF(AND($Q24="",$R24=""),"Add a URL",IF($S24="No","Not official - replace",IF($M24="Not verified","Verify status","OK"))))))))</f>
        <v/>
      </c>
      <c r="AG24" s="21" t="inlineStr">
        <is>
          <t>Needs fix</t>
        </is>
      </c>
      <c r="AH24" s="21" t="inlineStr">
        <is>
          <t>Auto-QA 12-Oct-2026</t>
        </is>
      </c>
      <c r="AI24" s="21" t="inlineStr">
        <is>
          <t>1) Drive link is a FOLDER - link the exact file (drive.google.com/file/d/...). | 2) Downloaded but missing: Version / Edition, Issued On. | 3) Set Current Status from the document (Current / Superseded ...).</t>
        </is>
      </c>
    </row>
    <row r="25" ht="14.25" customHeight="1" s="35">
      <c r="A25" s="21" t="inlineStr">
        <is>
          <t>S-021</t>
        </is>
      </c>
      <c r="B25" s="21" t="inlineStr">
        <is>
          <t>Intern A</t>
        </is>
      </c>
      <c r="C25" s="21" t="inlineStr">
        <is>
          <t>2. Higher-Education Regulation</t>
        </is>
      </c>
      <c r="D25" s="21" t="inlineStr">
        <is>
          <t>UGC</t>
        </is>
      </c>
      <c r="E25" s="21" t="inlineStr">
        <is>
          <t>regulatory</t>
        </is>
      </c>
      <c r="F25" s="21" t="inlineStr">
        <is>
          <t>Mandatory</t>
        </is>
      </c>
      <c r="G25" s="21" t="inlineStr">
        <is>
          <t>UGC-003</t>
        </is>
      </c>
      <c r="H25" s="21" t="inlineStr">
        <is>
          <t>UGC Minimum Standards of Instruction for the Grant of UG and PG Degrees Regulations, 2025</t>
        </is>
      </c>
      <c r="I25" s="21" t="inlineStr">
        <is>
          <t>Regulation</t>
        </is>
      </c>
      <c r="J25" s="21" t="n"/>
      <c r="K25" s="19" t="n"/>
      <c r="L25" s="19" t="n"/>
      <c r="M25" s="21" t="inlineStr">
        <is>
          <t>Not verified</t>
        </is>
      </c>
      <c r="N25" s="21" t="n"/>
      <c r="O25" s="21" t="inlineStr">
        <is>
          <t>Universities and colleges</t>
        </is>
      </c>
      <c r="P25" s="21" t="n"/>
      <c r="Q25" s="21" t="n"/>
      <c r="R25" s="21" t="n"/>
      <c r="S25" s="21" t="n"/>
      <c r="T25" s="21" t="inlineStr">
        <is>
          <t>Downloaded</t>
        </is>
      </c>
      <c r="U25" s="24" t="inlineStr">
        <is>
          <t>https://drive.google.com/drive/folders/1ZHdieeVU_fvMWe8NT_z3RLyr0nvQ5419?usp=drive_link</t>
        </is>
      </c>
      <c r="V25" s="21" t="n"/>
      <c r="W25" s="21" t="n"/>
      <c r="X25" s="21" t="n"/>
      <c r="Y25" s="21" t="inlineStr">
        <is>
          <t>No</t>
        </is>
      </c>
      <c r="Z25" s="21" t="n">
        <v>3</v>
      </c>
      <c r="AA25" s="21" t="inlineStr">
        <is>
          <t>document_index</t>
        </is>
      </c>
      <c r="AB25" s="21" t="n"/>
      <c r="AC25" s="19" t="n"/>
      <c r="AD25" s="21" t="n"/>
      <c r="AE25" s="14" t="inlineStr">
        <is>
          <t>https://www.ugc.gov.in/Regulations</t>
        </is>
      </c>
      <c r="AF25" s="21">
        <f>IF($H25="","",IF($T25="To find","Not started",IF(($C25="")+($D25="")+($E25="")+($G25="")+($I25="")+($M25="")+($O25="")+($S25="")&gt;0,"Missing basic details",IF(AND($T25="Downloaded",($R25="")+($U25="")+($V25="")+(($W25="")*(RIGHT(LOWER($U25),4)=".pdf"))&gt;0),"Add file details",IF(AND($T25="Downloaded",LEN($X25)&lt;&gt;64),"Check SHA-256",IF(AND($Q25="",$R25=""),"Add a URL",IF($S25="No","Not official - replace",IF($M25="Not verified","Verify status","OK"))))))))</f>
        <v/>
      </c>
      <c r="AG25" s="21" t="inlineStr">
        <is>
          <t>Needs fix</t>
        </is>
      </c>
      <c r="AH25" s="21" t="inlineStr">
        <is>
          <t>Auto-QA 12-Oct-2026</t>
        </is>
      </c>
      <c r="AI25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</t>
        </is>
      </c>
    </row>
    <row r="26" ht="14.25" customHeight="1" s="35">
      <c r="A26" s="21" t="inlineStr">
        <is>
          <t>S-022</t>
        </is>
      </c>
      <c r="B26" s="21" t="inlineStr">
        <is>
          <t>Intern A</t>
        </is>
      </c>
      <c r="C26" s="21" t="inlineStr">
        <is>
          <t>2. Higher-Education Regulation</t>
        </is>
      </c>
      <c r="D26" s="21" t="inlineStr">
        <is>
          <t>UGC</t>
        </is>
      </c>
      <c r="E26" s="21" t="inlineStr">
        <is>
          <t>regulatory</t>
        </is>
      </c>
      <c r="F26" s="21" t="inlineStr">
        <is>
          <t>Mandatory</t>
        </is>
      </c>
      <c r="G26" s="21" t="inlineStr">
        <is>
          <t>UGC-004</t>
        </is>
      </c>
      <c r="H26" s="21" t="inlineStr">
        <is>
          <t>UGC Minimum Qualifications (teachers and academic staff) Regulations and amendments</t>
        </is>
      </c>
      <c r="I26" s="21" t="inlineStr">
        <is>
          <t>Regulation</t>
        </is>
      </c>
      <c r="J26" s="21" t="n"/>
      <c r="K26" s="19" t="n"/>
      <c r="L26" s="19" t="n"/>
      <c r="M26" s="21" t="inlineStr">
        <is>
          <t>Not verified</t>
        </is>
      </c>
      <c r="N26" s="21" t="n"/>
      <c r="O26" s="21" t="inlineStr">
        <is>
          <t>Universities and colleges</t>
        </is>
      </c>
      <c r="P26" s="21" t="n"/>
      <c r="Q26" s="21" t="n"/>
      <c r="R26" s="21" t="n"/>
      <c r="S26" s="21" t="n"/>
      <c r="T26" s="21" t="inlineStr">
        <is>
          <t>Downloaded</t>
        </is>
      </c>
      <c r="U26" s="24" t="inlineStr">
        <is>
          <t>https://drive.google.com/drive/folders/1ZHdieeVU_fvMWe8NT_z3RLyr0nvQ5419?usp=drive_link</t>
        </is>
      </c>
      <c r="V26" s="21" t="n"/>
      <c r="W26" s="21" t="n"/>
      <c r="X26" s="21" t="n"/>
      <c r="Y26" s="21" t="inlineStr">
        <is>
          <t>No</t>
        </is>
      </c>
      <c r="Z26" s="21" t="n">
        <v>3</v>
      </c>
      <c r="AA26" s="21" t="inlineStr">
        <is>
          <t>document_index</t>
        </is>
      </c>
      <c r="AB26" s="21" t="n"/>
      <c r="AC26" s="19" t="n"/>
      <c r="AD26" s="21" t="inlineStr">
        <is>
          <t>Add a separate row for each amendment.</t>
        </is>
      </c>
      <c r="AE26" s="14" t="inlineStr">
        <is>
          <t>https://www.ugc.gov.in/Regulations</t>
        </is>
      </c>
      <c r="AF26" s="21">
        <f>IF($H26="","",IF($T26="To find","Not started",IF(($C26="")+($D26="")+($E26="")+($G26="")+($I26="")+($M26="")+($O26="")+($S26="")&gt;0,"Missing basic details",IF(AND($T26="Downloaded",($R26="")+($U26="")+($V26="")+(($W26="")*(RIGHT(LOWER($U26),4)=".pdf"))&gt;0),"Add file details",IF(AND($T26="Downloaded",LEN($X26)&lt;&gt;64),"Check SHA-256",IF(AND($Q26="",$R26=""),"Add a URL",IF($S26="No","Not official - replace",IF($M26="Not verified","Verify status","OK"))))))))</f>
        <v/>
      </c>
      <c r="AG26" s="21" t="inlineStr">
        <is>
          <t>Needs fix</t>
        </is>
      </c>
      <c r="AH26" s="21" t="inlineStr">
        <is>
          <t>Auto-QA 12-Oct-2026</t>
        </is>
      </c>
      <c r="AI26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</t>
        </is>
      </c>
    </row>
    <row r="27" ht="14.25" customHeight="1" s="35">
      <c r="A27" s="21" t="inlineStr">
        <is>
          <t>S-023</t>
        </is>
      </c>
      <c r="B27" s="21" t="inlineStr">
        <is>
          <t>Intern A</t>
        </is>
      </c>
      <c r="C27" s="21" t="inlineStr">
        <is>
          <t>2. Higher-Education Regulation</t>
        </is>
      </c>
      <c r="D27" s="21" t="inlineStr">
        <is>
          <t>UGC</t>
        </is>
      </c>
      <c r="E27" s="21" t="inlineStr">
        <is>
          <t>regulatory</t>
        </is>
      </c>
      <c r="F27" s="21" t="inlineStr">
        <is>
          <t>Mandatory</t>
        </is>
      </c>
      <c r="G27" s="21" t="inlineStr">
        <is>
          <t>UGC-005</t>
        </is>
      </c>
      <c r="H27" s="21" t="inlineStr">
        <is>
          <t>UGC Promotion of Academic Integrity and Prevention of Plagiarism Regulations, 2018</t>
        </is>
      </c>
      <c r="I27" s="21" t="inlineStr">
        <is>
          <t>Regulation</t>
        </is>
      </c>
      <c r="J27" s="21" t="n"/>
      <c r="K27" s="19" t="n"/>
      <c r="L27" s="19" t="n"/>
      <c r="M27" s="21" t="inlineStr">
        <is>
          <t>Not verified</t>
        </is>
      </c>
      <c r="N27" s="21" t="n"/>
      <c r="O27" s="21" t="inlineStr">
        <is>
          <t>HEIs</t>
        </is>
      </c>
      <c r="P27" s="21" t="n"/>
      <c r="Q27" s="21" t="n"/>
      <c r="R27" s="21" t="n"/>
      <c r="S27" s="21" t="n"/>
      <c r="T27" s="21" t="inlineStr">
        <is>
          <t>Downloaded</t>
        </is>
      </c>
      <c r="U27" s="24" t="inlineStr">
        <is>
          <t>https://drive.google.com/drive/folders/1ZHdieeVU_fvMWe8NT_z3RLyr0nvQ5419?usp=drive_link</t>
        </is>
      </c>
      <c r="V27" s="21" t="n"/>
      <c r="W27" s="21" t="n"/>
      <c r="X27" s="21" t="n"/>
      <c r="Y27" s="21" t="inlineStr">
        <is>
          <t>No</t>
        </is>
      </c>
      <c r="Z27" s="21" t="n">
        <v>3</v>
      </c>
      <c r="AA27" s="21" t="inlineStr">
        <is>
          <t>document_index</t>
        </is>
      </c>
      <c r="AB27" s="21" t="n"/>
      <c r="AC27" s="19" t="n"/>
      <c r="AD27" s="21" t="n"/>
      <c r="AE27" s="14" t="inlineStr">
        <is>
          <t>https://www.ugc.gov.in/Regulations</t>
        </is>
      </c>
      <c r="AF27" s="21">
        <f>IF($H27="","",IF($T27="To find","Not started",IF(($C27="")+($D27="")+($E27="")+($G27="")+($I27="")+($M27="")+($O27="")+($S27="")&gt;0,"Missing basic details",IF(AND($T27="Downloaded",($R27="")+($U27="")+($V27="")+(($W27="")*(RIGHT(LOWER($U27),4)=".pdf"))&gt;0),"Add file details",IF(AND($T27="Downloaded",LEN($X27)&lt;&gt;64),"Check SHA-256",IF(AND($Q27="",$R27=""),"Add a URL",IF($S27="No","Not official - replace",IF($M27="Not verified","Verify status","OK"))))))))</f>
        <v/>
      </c>
      <c r="AG27" s="21" t="inlineStr">
        <is>
          <t>Needs fix</t>
        </is>
      </c>
      <c r="AH27" s="21" t="inlineStr">
        <is>
          <t>Auto-QA 12-Oct-2026</t>
        </is>
      </c>
      <c r="AI27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</t>
        </is>
      </c>
    </row>
    <row r="28" ht="14.25" customHeight="1" s="35">
      <c r="A28" s="21" t="inlineStr">
        <is>
          <t>S-024</t>
        </is>
      </c>
      <c r="B28" s="21" t="inlineStr">
        <is>
          <t>Intern A</t>
        </is>
      </c>
      <c r="C28" s="21" t="inlineStr">
        <is>
          <t>2. Higher-Education Regulation</t>
        </is>
      </c>
      <c r="D28" s="21" t="inlineStr">
        <is>
          <t>UGC</t>
        </is>
      </c>
      <c r="E28" s="21" t="inlineStr">
        <is>
          <t>regulatory</t>
        </is>
      </c>
      <c r="F28" s="21" t="inlineStr">
        <is>
          <t>Good-practice standard</t>
        </is>
      </c>
      <c r="G28" s="21" t="inlineStr">
        <is>
          <t>UGC-006</t>
        </is>
      </c>
      <c r="H28" s="21" t="inlineStr">
        <is>
          <t>UGC guidelines for Institutional Development Plans (IDP)</t>
        </is>
      </c>
      <c r="I28" s="21" t="inlineStr">
        <is>
          <t>Guideline</t>
        </is>
      </c>
      <c r="J28" s="21" t="n"/>
      <c r="K28" s="19" t="n"/>
      <c r="L28" s="19" t="n"/>
      <c r="M28" s="21" t="inlineStr">
        <is>
          <t>Not verified</t>
        </is>
      </c>
      <c r="N28" s="21" t="n"/>
      <c r="O28" s="21" t="inlineStr">
        <is>
          <t>HEIs</t>
        </is>
      </c>
      <c r="P28" s="21" t="n"/>
      <c r="Q28" s="21" t="n"/>
      <c r="R28" s="21" t="n"/>
      <c r="S28" s="21" t="n"/>
      <c r="T28" s="21" t="inlineStr">
        <is>
          <t>Downloaded</t>
        </is>
      </c>
      <c r="U28" s="24" t="inlineStr">
        <is>
          <t>https://drive.google.com/drive/folders/1ZHdieeVU_fvMWe8NT_z3RLyr0nvQ5419?usp=drive_link</t>
        </is>
      </c>
      <c r="V28" s="21" t="n"/>
      <c r="W28" s="21" t="n"/>
      <c r="X28" s="21" t="n"/>
      <c r="Y28" s="21" t="inlineStr">
        <is>
          <t>No</t>
        </is>
      </c>
      <c r="Z28" s="21" t="n">
        <v>12</v>
      </c>
      <c r="AA28" s="21" t="inlineStr">
        <is>
          <t>document_index</t>
        </is>
      </c>
      <c r="AB28" s="21" t="n"/>
      <c r="AC28" s="19" t="n"/>
      <c r="AD28" s="21" t="n"/>
      <c r="AE28" s="14" t="inlineStr">
        <is>
          <t>https://www.ugc.gov.in/Guideline</t>
        </is>
      </c>
      <c r="AF28" s="21">
        <f>IF($H28="","",IF($T28="To find","Not started",IF(($C28="")+($D28="")+($E28="")+($G28="")+($I28="")+($M28="")+($O28="")+($S28="")&gt;0,"Missing basic details",IF(AND($T28="Downloaded",($R28="")+($U28="")+($V28="")+(($W28="")*(RIGHT(LOWER($U28),4)=".pdf"))&gt;0),"Add file details",IF(AND($T28="Downloaded",LEN($X28)&lt;&gt;64),"Check SHA-256",IF(AND($Q28="",$R28=""),"Add a URL",IF($S28="No","Not official - replace",IF($M28="Not verified","Verify status","OK"))))))))</f>
        <v/>
      </c>
      <c r="AG28" s="21" t="inlineStr">
        <is>
          <t>Needs fix</t>
        </is>
      </c>
      <c r="AH28" s="21" t="inlineStr">
        <is>
          <t>Auto-QA 12-Oct-2026</t>
        </is>
      </c>
      <c r="AI28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</t>
        </is>
      </c>
    </row>
    <row r="29" ht="14.25" customHeight="1" s="35">
      <c r="A29" s="21" t="inlineStr">
        <is>
          <t>S-025</t>
        </is>
      </c>
      <c r="B29" s="21" t="inlineStr">
        <is>
          <t>Intern A</t>
        </is>
      </c>
      <c r="C29" s="21" t="inlineStr">
        <is>
          <t>7. Research, Innovation &amp; Impact</t>
        </is>
      </c>
      <c r="D29" s="21" t="inlineStr">
        <is>
          <t>UGC</t>
        </is>
      </c>
      <c r="E29" s="21" t="inlineStr">
        <is>
          <t>regulatory</t>
        </is>
      </c>
      <c r="F29" s="21" t="inlineStr">
        <is>
          <t>Good-practice standard</t>
        </is>
      </c>
      <c r="G29" s="21" t="inlineStr">
        <is>
          <t>UGC-007</t>
        </is>
      </c>
      <c r="H29" s="21" t="inlineStr">
        <is>
          <t>UGC guidelines for Research and Development Cells in HEIs</t>
        </is>
      </c>
      <c r="I29" s="21" t="inlineStr">
        <is>
          <t>Guideline</t>
        </is>
      </c>
      <c r="J29" s="21" t="n"/>
      <c r="K29" s="19" t="n"/>
      <c r="L29" s="19" t="n"/>
      <c r="M29" s="21" t="inlineStr">
        <is>
          <t>Not verified</t>
        </is>
      </c>
      <c r="N29" s="21" t="n"/>
      <c r="O29" s="21" t="inlineStr">
        <is>
          <t>HEIs</t>
        </is>
      </c>
      <c r="P29" s="21" t="n"/>
      <c r="Q29" s="21" t="n"/>
      <c r="R29" s="21" t="n"/>
      <c r="S29" s="21" t="n"/>
      <c r="T29" s="21" t="inlineStr">
        <is>
          <t>Downloaded</t>
        </is>
      </c>
      <c r="U29" s="24" t="inlineStr">
        <is>
          <t>https://drive.google.com/file/d/1-W89tsVwlg87IXnmo9kLluhV4j9HgV1o/view?usp=drive_link</t>
        </is>
      </c>
      <c r="V29" s="21" t="n"/>
      <c r="W29" s="21" t="n"/>
      <c r="X29" s="21" t="n"/>
      <c r="Y29" s="21" t="inlineStr">
        <is>
          <t>No</t>
        </is>
      </c>
      <c r="Z29" s="21" t="n">
        <v>12</v>
      </c>
      <c r="AA29" s="21" t="inlineStr">
        <is>
          <t>document_index</t>
        </is>
      </c>
      <c r="AB29" s="21" t="n"/>
      <c r="AC29" s="19" t="n"/>
      <c r="AD29" s="21" t="n"/>
      <c r="AE29" s="14" t="inlineStr">
        <is>
          <t>https://www.ugc.gov.in/Guideline</t>
        </is>
      </c>
      <c r="AF29" s="21">
        <f>IF($H29="","",IF($T29="To find","Not started",IF(($C29="")+($D29="")+($E29="")+($G29="")+($I29="")+($M29="")+($O29="")+($S29="")&gt;0,"Missing basic details",IF(AND($T29="Downloaded",($R29="")+($U29="")+($V29="")+(($W29="")*(RIGHT(LOWER($U29),4)=".pdf"))&gt;0),"Add file details",IF(AND($T29="Downloaded",LEN($X29)&lt;&gt;64),"Check SHA-256",IF(AND($Q29="",$R29=""),"Add a URL",IF($S29="No","Not official - replace",IF($M29="Not verified","Verify status","OK"))))))))</f>
        <v/>
      </c>
      <c r="AG29" s="21" t="inlineStr">
        <is>
          <t>Needs fix</t>
        </is>
      </c>
      <c r="AH29" s="21" t="inlineStr">
        <is>
          <t>Auto-QA 12-Oct-2026</t>
        </is>
      </c>
      <c r="AI29" s="21" t="inlineStr">
        <is>
          <t>1) Downloaded but missing: Direct Document URL, File Size (KB), SHA-256 Checksum, Version / Edition, Issued On, Pages. | 2) Set Current Status from the document (Current / Superseded ...).</t>
        </is>
      </c>
    </row>
    <row r="30" ht="14.25" customHeight="1" s="35">
      <c r="A30" s="21" t="inlineStr">
        <is>
          <t>S-026</t>
        </is>
      </c>
      <c r="B30" s="21" t="inlineStr">
        <is>
          <t>Intern A</t>
        </is>
      </c>
      <c r="C30" s="21" t="inlineStr">
        <is>
          <t>4. Student Protection &amp; Inclusion</t>
        </is>
      </c>
      <c r="D30" s="21" t="inlineStr">
        <is>
          <t>UGC</t>
        </is>
      </c>
      <c r="E30" s="21" t="inlineStr">
        <is>
          <t>regulatory</t>
        </is>
      </c>
      <c r="F30" s="21" t="inlineStr">
        <is>
          <t>Good-practice standard</t>
        </is>
      </c>
      <c r="G30" s="21" t="inlineStr">
        <is>
          <t>UGC-008</t>
        </is>
      </c>
      <c r="H30" s="21" t="inlineStr">
        <is>
          <t>UGC Accessibility Guidelines and Standards for HEIs</t>
        </is>
      </c>
      <c r="I30" s="21" t="inlineStr">
        <is>
          <t>Guideline</t>
        </is>
      </c>
      <c r="J30" s="21" t="n"/>
      <c r="K30" s="19" t="n"/>
      <c r="L30" s="19" t="n"/>
      <c r="M30" s="21" t="inlineStr">
        <is>
          <t>Not verified</t>
        </is>
      </c>
      <c r="N30" s="21" t="n"/>
      <c r="O30" s="21" t="inlineStr">
        <is>
          <t>HEIs</t>
        </is>
      </c>
      <c r="P30" s="21" t="n"/>
      <c r="Q30" s="21" t="n"/>
      <c r="R30" s="21" t="n"/>
      <c r="S30" s="21" t="n"/>
      <c r="T30" s="21" t="inlineStr">
        <is>
          <t>Downloaded</t>
        </is>
      </c>
      <c r="U30" s="24" t="inlineStr">
        <is>
          <t>https://drive.google.com/file/d/1w24SO93KZWXoLHJePCz2k2FMgyvEW81h/view?usp=drive_link</t>
        </is>
      </c>
      <c r="V30" s="21" t="n"/>
      <c r="W30" s="21" t="n"/>
      <c r="X30" s="21" t="n"/>
      <c r="Y30" s="21" t="inlineStr">
        <is>
          <t>No</t>
        </is>
      </c>
      <c r="Z30" s="21" t="n">
        <v>12</v>
      </c>
      <c r="AA30" s="21" t="inlineStr">
        <is>
          <t>document_index</t>
        </is>
      </c>
      <c r="AB30" s="21" t="n"/>
      <c r="AC30" s="19" t="n"/>
      <c r="AD30" s="21" t="n"/>
      <c r="AE30" s="14" t="inlineStr">
        <is>
          <t>https://www.ugc.gov.in/Guideline</t>
        </is>
      </c>
      <c r="AF30" s="21">
        <f>IF($H30="","",IF($T30="To find","Not started",IF(($C30="")+($D30="")+($E30="")+($G30="")+($I30="")+($M30="")+($O30="")+($S30="")&gt;0,"Missing basic details",IF(AND($T30="Downloaded",($R30="")+($U30="")+($V30="")+(($W30="")*(RIGHT(LOWER($U30),4)=".pdf"))&gt;0),"Add file details",IF(AND($T30="Downloaded",LEN($X30)&lt;&gt;64),"Check SHA-256",IF(AND($Q30="",$R30=""),"Add a URL",IF($S30="No","Not official - replace",IF($M30="Not verified","Verify status","OK"))))))))</f>
        <v/>
      </c>
      <c r="AG30" s="21" t="inlineStr">
        <is>
          <t>Needs fix</t>
        </is>
      </c>
      <c r="AH30" s="21" t="inlineStr">
        <is>
          <t>Auto-QA 12-Oct-2026</t>
        </is>
      </c>
      <c r="AI30" s="21" t="inlineStr">
        <is>
          <t>1) Downloaded but missing: Direct Document URL, File Size (KB), SHA-256 Checksum, Version / Edition, Issued On, Pages. | 2) Set Current Status from the document (Current / Superseded ...).</t>
        </is>
      </c>
    </row>
    <row r="31" ht="14.25" customHeight="1" s="35">
      <c r="A31" s="21" t="inlineStr">
        <is>
          <t>S-027</t>
        </is>
      </c>
      <c r="B31" s="21" t="inlineStr">
        <is>
          <t>Intern A</t>
        </is>
      </c>
      <c r="C31" s="21" t="inlineStr">
        <is>
          <t>4. Student Protection &amp; Inclusion</t>
        </is>
      </c>
      <c r="D31" s="21" t="inlineStr">
        <is>
          <t>UGC</t>
        </is>
      </c>
      <c r="E31" s="21" t="inlineStr">
        <is>
          <t>regulatory</t>
        </is>
      </c>
      <c r="F31" s="21" t="inlineStr">
        <is>
          <t>Good-practice standard</t>
        </is>
      </c>
      <c r="G31" s="21" t="inlineStr">
        <is>
          <t>UGC-009</t>
        </is>
      </c>
      <c r="H31" s="21" t="inlineStr">
        <is>
          <t>UGC guidelines on equitable opportunities for socio-economically disadvantaged groups (SEDG)</t>
        </is>
      </c>
      <c r="I31" s="21" t="inlineStr">
        <is>
          <t>Guideline</t>
        </is>
      </c>
      <c r="J31" s="21" t="n"/>
      <c r="K31" s="19" t="n"/>
      <c r="L31" s="19" t="n"/>
      <c r="M31" s="21" t="inlineStr">
        <is>
          <t>Not verified</t>
        </is>
      </c>
      <c r="N31" s="21" t="n"/>
      <c r="O31" s="21" t="inlineStr">
        <is>
          <t>HEIs</t>
        </is>
      </c>
      <c r="P31" s="21" t="n"/>
      <c r="Q31" s="21" t="n"/>
      <c r="R31" s="21" t="n"/>
      <c r="S31" s="21" t="n"/>
      <c r="T31" s="21" t="inlineStr">
        <is>
          <t>Downloaded</t>
        </is>
      </c>
      <c r="U31" s="24" t="inlineStr">
        <is>
          <t>https://drive.google.com/file/d/1zzWY39CGx8soqpcCMi32KadwmjTI8TJI/view?usp=drive_link</t>
        </is>
      </c>
      <c r="V31" s="21" t="n"/>
      <c r="W31" s="21" t="n"/>
      <c r="X31" s="21" t="n"/>
      <c r="Y31" s="21" t="inlineStr">
        <is>
          <t>No</t>
        </is>
      </c>
      <c r="Z31" s="21" t="n">
        <v>12</v>
      </c>
      <c r="AA31" s="21" t="inlineStr">
        <is>
          <t>document_index</t>
        </is>
      </c>
      <c r="AB31" s="21" t="n"/>
      <c r="AC31" s="19" t="n"/>
      <c r="AD31" s="21" t="n"/>
      <c r="AE31" s="14" t="inlineStr">
        <is>
          <t>https://www.ugc.gov.in/Guideline</t>
        </is>
      </c>
      <c r="AF31" s="21">
        <f>IF($H31="","",IF($T31="To find","Not started",IF(($C31="")+($D31="")+($E31="")+($G31="")+($I31="")+($M31="")+($O31="")+($S31="")&gt;0,"Missing basic details",IF(AND($T31="Downloaded",($R31="")+($U31="")+($V31="")+(($W31="")*(RIGHT(LOWER($U31),4)=".pdf"))&gt;0),"Add file details",IF(AND($T31="Downloaded",LEN($X31)&lt;&gt;64),"Check SHA-256",IF(AND($Q31="",$R31=""),"Add a URL",IF($S31="No","Not official - replace",IF($M31="Not verified","Verify status","OK"))))))))</f>
        <v/>
      </c>
      <c r="AG31" s="21" t="inlineStr">
        <is>
          <t>Needs fix</t>
        </is>
      </c>
      <c r="AH31" s="21" t="inlineStr">
        <is>
          <t>Auto-QA 12-Oct-2026</t>
        </is>
      </c>
      <c r="AI31" s="21" t="inlineStr">
        <is>
          <t>1) Downloaded but missing: Direct Document URL, File Size (KB), SHA-256 Checksum, Version / Edition, Issued On, Pages. | 2) Set Current Status from the document (Current / Superseded ...).</t>
        </is>
      </c>
    </row>
    <row r="32" ht="14.25" customHeight="1" s="35">
      <c r="A32" s="21" t="inlineStr">
        <is>
          <t>S-028</t>
        </is>
      </c>
      <c r="B32" s="21" t="inlineStr">
        <is>
          <t>Intern A</t>
        </is>
      </c>
      <c r="C32" s="21" t="inlineStr">
        <is>
          <t>2. Higher-Education Regulation</t>
        </is>
      </c>
      <c r="D32" s="21" t="inlineStr">
        <is>
          <t>UGC</t>
        </is>
      </c>
      <c r="E32" s="21" t="inlineStr">
        <is>
          <t>regulatory</t>
        </is>
      </c>
      <c r="F32" s="21" t="inlineStr">
        <is>
          <t>Mandatory</t>
        </is>
      </c>
      <c r="G32" s="21" t="inlineStr">
        <is>
          <t>UGC-010</t>
        </is>
      </c>
      <c r="H32" s="21" t="inlineStr">
        <is>
          <t>UGC Open and Distance Learning and Online Programmes Regulations</t>
        </is>
      </c>
      <c r="I32" s="21" t="inlineStr">
        <is>
          <t>Regulation</t>
        </is>
      </c>
      <c r="J32" s="21" t="n"/>
      <c r="K32" s="19" t="n"/>
      <c r="L32" s="19" t="n"/>
      <c r="M32" s="21" t="inlineStr">
        <is>
          <t>Not verified</t>
        </is>
      </c>
      <c r="N32" s="21" t="n"/>
      <c r="O32" s="21" t="inlineStr">
        <is>
          <t>Eligible HEIs</t>
        </is>
      </c>
      <c r="P32" s="21" t="n"/>
      <c r="Q32" s="21" t="n"/>
      <c r="R32" s="21" t="n"/>
      <c r="S32" s="21" t="n"/>
      <c r="T32" s="21" t="inlineStr">
        <is>
          <t>Downloaded</t>
        </is>
      </c>
      <c r="U32" s="24" t="inlineStr">
        <is>
          <t>https://drive.google.com/drive/folders/1ZHdieeVU_fvMWe8NT_z3RLyr0nvQ5419?usp=drive_link</t>
        </is>
      </c>
      <c r="V32" s="21" t="n"/>
      <c r="W32" s="21" t="n"/>
      <c r="X32" s="21" t="n"/>
      <c r="Y32" s="21" t="inlineStr">
        <is>
          <t>No</t>
        </is>
      </c>
      <c r="Z32" s="21" t="n">
        <v>3</v>
      </c>
      <c r="AA32" s="21" t="inlineStr">
        <is>
          <t>document_index</t>
        </is>
      </c>
      <c r="AB32" s="21" t="n"/>
      <c r="AC32" s="19" t="n"/>
      <c r="AD32" s="21" t="n"/>
      <c r="AE32" s="14" t="inlineStr">
        <is>
          <t>https://www.ugc.gov.in/Regulations</t>
        </is>
      </c>
      <c r="AF32" s="21">
        <f>IF($H32="","",IF($T32="To find","Not started",IF(($C32="")+($D32="")+($E32="")+($G32="")+($I32="")+($M32="")+($O32="")+($S32="")&gt;0,"Missing basic details",IF(AND($T32="Downloaded",($R32="")+($U32="")+($V32="")+(($W32="")*(RIGHT(LOWER($U32),4)=".pdf"))&gt;0),"Add file details",IF(AND($T32="Downloaded",LEN($X32)&lt;&gt;64),"Check SHA-256",IF(AND($Q32="",$R32=""),"Add a URL",IF($S32="No","Not official - replace",IF($M32="Not verified","Verify status","OK"))))))))</f>
        <v/>
      </c>
      <c r="AG32" s="21" t="inlineStr">
        <is>
          <t>Needs fix</t>
        </is>
      </c>
      <c r="AH32" s="21" t="inlineStr">
        <is>
          <t>Auto-QA 12-Oct-2026</t>
        </is>
      </c>
      <c r="AI32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</t>
        </is>
      </c>
    </row>
    <row r="33" ht="14.25" customHeight="1" s="35">
      <c r="A33" s="21" t="inlineStr">
        <is>
          <t>S-029</t>
        </is>
      </c>
      <c r="B33" s="21" t="inlineStr">
        <is>
          <t>Intern A</t>
        </is>
      </c>
      <c r="C33" s="21" t="inlineStr">
        <is>
          <t>2. Higher-Education Regulation</t>
        </is>
      </c>
      <c r="D33" s="21" t="inlineStr">
        <is>
          <t>UGC</t>
        </is>
      </c>
      <c r="E33" s="21" t="inlineStr">
        <is>
          <t>regulatory</t>
        </is>
      </c>
      <c r="F33" s="21" t="inlineStr">
        <is>
          <t>Mandatory</t>
        </is>
      </c>
      <c r="G33" s="21" t="inlineStr">
        <is>
          <t>UGC-011</t>
        </is>
      </c>
      <c r="H33" s="21" t="inlineStr">
        <is>
          <t>UGC PhD regulations (minimum standards and procedures for award of PhD)</t>
        </is>
      </c>
      <c r="I33" s="21" t="inlineStr">
        <is>
          <t>Regulation</t>
        </is>
      </c>
      <c r="J33" s="21" t="n"/>
      <c r="K33" s="19" t="n"/>
      <c r="L33" s="19" t="n"/>
      <c r="M33" s="21" t="inlineStr">
        <is>
          <t>Not verified</t>
        </is>
      </c>
      <c r="N33" s="21" t="n"/>
      <c r="O33" s="21" t="n"/>
      <c r="P33" s="21" t="n"/>
      <c r="Q33" s="21" t="n"/>
      <c r="R33" s="21" t="n"/>
      <c r="S33" s="21" t="n"/>
      <c r="T33" s="21" t="inlineStr">
        <is>
          <t>Downloaded</t>
        </is>
      </c>
      <c r="U33" s="24" t="inlineStr">
        <is>
          <t>https://drive.google.com/drive/folders/1ZHdieeVU_fvMWe8NT_z3RLyr0nvQ5419?usp=drive_link</t>
        </is>
      </c>
      <c r="V33" s="21" t="n"/>
      <c r="W33" s="21" t="n"/>
      <c r="X33" s="21" t="n"/>
      <c r="Y33" s="21" t="inlineStr">
        <is>
          <t>No</t>
        </is>
      </c>
      <c r="Z33" s="21" t="n">
        <v>3</v>
      </c>
      <c r="AA33" s="21" t="inlineStr">
        <is>
          <t>document_index</t>
        </is>
      </c>
      <c r="AB33" s="21" t="n"/>
      <c r="AC33" s="19" t="n"/>
      <c r="AD33" s="21" t="n"/>
      <c r="AE33" s="14" t="inlineStr">
        <is>
          <t>https://www.ugc.gov.in/Regulations</t>
        </is>
      </c>
      <c r="AF33" s="21">
        <f>IF($H33="","",IF($T33="To find","Not started",IF(($C33="")+($D33="")+($E33="")+($G33="")+($I33="")+($M33="")+($O33="")+($S33="")&gt;0,"Missing basic details",IF(AND($T33="Downloaded",($R33="")+($U33="")+($V33="")+(($W33="")*(RIGHT(LOWER($U33),4)=".pdf"))&gt;0),"Add file details",IF(AND($T33="Downloaded",LEN($X33)&lt;&gt;64),"Check SHA-256",IF(AND($Q33="",$R33=""),"Add a URL",IF($S33="No","Not official - replace",IF($M33="Not verified","Verify status","OK"))))))))</f>
        <v/>
      </c>
      <c r="AG33" s="21" t="inlineStr">
        <is>
          <t>Needs fix</t>
        </is>
      </c>
      <c r="AH33" s="21" t="inlineStr">
        <is>
          <t>Auto-QA 12-Oct-2026</t>
        </is>
      </c>
      <c r="AI33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34" ht="14.25" customHeight="1" s="35">
      <c r="A34" s="21" t="inlineStr">
        <is>
          <t>S-030</t>
        </is>
      </c>
      <c r="B34" s="21" t="inlineStr">
        <is>
          <t>Intern A</t>
        </is>
      </c>
      <c r="C34" s="21" t="inlineStr">
        <is>
          <t>2. Higher-Education Regulation</t>
        </is>
      </c>
      <c r="D34" s="21" t="inlineStr">
        <is>
          <t>UGC</t>
        </is>
      </c>
      <c r="E34" s="21" t="inlineStr">
        <is>
          <t>regulatory</t>
        </is>
      </c>
      <c r="F34" s="21" t="inlineStr">
        <is>
          <t>Mandatory</t>
        </is>
      </c>
      <c r="G34" s="21" t="inlineStr">
        <is>
          <t>UGC-012</t>
        </is>
      </c>
      <c r="H34" s="21" t="inlineStr">
        <is>
          <t>UGC regulations for conferment of autonomous status on colleges</t>
        </is>
      </c>
      <c r="I34" s="21" t="inlineStr">
        <is>
          <t>Regulation</t>
        </is>
      </c>
      <c r="J34" s="21" t="n"/>
      <c r="K34" s="19" t="n"/>
      <c r="L34" s="19" t="n"/>
      <c r="M34" s="21" t="inlineStr">
        <is>
          <t>Not verified</t>
        </is>
      </c>
      <c r="N34" s="21" t="n"/>
      <c r="O34" s="21" t="inlineStr">
        <is>
          <t>Autonomous colleges</t>
        </is>
      </c>
      <c r="P34" s="21" t="n"/>
      <c r="Q34" s="21" t="n"/>
      <c r="R34" s="21" t="n"/>
      <c r="S34" s="21" t="n"/>
      <c r="T34" s="21" t="inlineStr">
        <is>
          <t>Downloaded</t>
        </is>
      </c>
      <c r="U34" s="24" t="inlineStr">
        <is>
          <t>https://drive.google.com/drive/folders/1ZHdieeVU_fvMWe8NT_z3RLyr0nvQ5419?usp=drive_link</t>
        </is>
      </c>
      <c r="V34" s="21" t="n"/>
      <c r="W34" s="21" t="n"/>
      <c r="X34" s="21" t="n"/>
      <c r="Y34" s="21" t="inlineStr">
        <is>
          <t>No</t>
        </is>
      </c>
      <c r="Z34" s="21" t="n">
        <v>3</v>
      </c>
      <c r="AA34" s="21" t="inlineStr">
        <is>
          <t>document_index</t>
        </is>
      </c>
      <c r="AB34" s="21" t="n"/>
      <c r="AC34" s="19" t="n"/>
      <c r="AD34" s="21" t="n"/>
      <c r="AE34" s="14" t="inlineStr">
        <is>
          <t>https://www.ugc.gov.in/Regulations</t>
        </is>
      </c>
      <c r="AF34" s="21">
        <f>IF($H34="","",IF($T34="To find","Not started",IF(($C34="")+($D34="")+($E34="")+($G34="")+($I34="")+($M34="")+($O34="")+($S34="")&gt;0,"Missing basic details",IF(AND($T34="Downloaded",($R34="")+($U34="")+($V34="")+(($W34="")*(RIGHT(LOWER($U34),4)=".pdf"))&gt;0),"Add file details",IF(AND($T34="Downloaded",LEN($X34)&lt;&gt;64),"Check SHA-256",IF(AND($Q34="",$R34=""),"Add a URL",IF($S34="No","Not official - replace",IF($M34="Not verified","Verify status","OK"))))))))</f>
        <v/>
      </c>
      <c r="AG34" s="21" t="inlineStr">
        <is>
          <t>Needs fix</t>
        </is>
      </c>
      <c r="AH34" s="21" t="inlineStr">
        <is>
          <t>Auto-QA 12-Oct-2026</t>
        </is>
      </c>
      <c r="AI34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</t>
        </is>
      </c>
    </row>
    <row r="35" ht="14.25" customHeight="1" s="35">
      <c r="A35" s="21" t="inlineStr">
        <is>
          <t>S-031</t>
        </is>
      </c>
      <c r="B35" s="21" t="inlineStr">
        <is>
          <t>Intern A</t>
        </is>
      </c>
      <c r="C35" s="21" t="inlineStr">
        <is>
          <t>2. Higher-Education Regulation</t>
        </is>
      </c>
      <c r="D35" s="21" t="inlineStr">
        <is>
          <t>UGC</t>
        </is>
      </c>
      <c r="E35" s="21" t="inlineStr">
        <is>
          <t>regulatory</t>
        </is>
      </c>
      <c r="F35" s="21" t="inlineStr">
        <is>
          <t>Mandatory</t>
        </is>
      </c>
      <c r="G35" s="21" t="inlineStr">
        <is>
          <t>UGC-013</t>
        </is>
      </c>
      <c r="H35" s="21" t="inlineStr">
        <is>
          <t>UGC institutional recognition requirements</t>
        </is>
      </c>
      <c r="I35" s="21" t="inlineStr">
        <is>
          <t>Regulation</t>
        </is>
      </c>
      <c r="J35" s="21" t="n"/>
      <c r="K35" s="19" t="n"/>
      <c r="L35" s="19" t="n"/>
      <c r="M35" s="21" t="inlineStr">
        <is>
          <t>Not verified</t>
        </is>
      </c>
      <c r="N35" s="21" t="n"/>
      <c r="O35" s="21" t="n"/>
      <c r="P35" s="21" t="n"/>
      <c r="Q35" s="21" t="n"/>
      <c r="R35" s="21" t="n"/>
      <c r="S35" s="21" t="n"/>
      <c r="T35" s="21" t="inlineStr">
        <is>
          <t>Downloaded</t>
        </is>
      </c>
      <c r="U35" s="24" t="inlineStr">
        <is>
          <t>https://drive.google.com/drive/folders/1ZHdieeVU_fvMWe8NT_z3RLyr0nvQ5419?usp=drive_link</t>
        </is>
      </c>
      <c r="V35" s="21" t="n"/>
      <c r="W35" s="21" t="n"/>
      <c r="X35" s="21" t="n"/>
      <c r="Y35" s="21" t="inlineStr">
        <is>
          <t>No</t>
        </is>
      </c>
      <c r="Z35" s="21" t="n">
        <v>3</v>
      </c>
      <c r="AA35" s="21" t="inlineStr">
        <is>
          <t>document_index</t>
        </is>
      </c>
      <c r="AB35" s="21" t="n"/>
      <c r="AC35" s="19" t="n"/>
      <c r="AD35" s="21" t="inlineStr">
        <is>
          <t>Identify which current regulations cover recognition; one row each.</t>
        </is>
      </c>
      <c r="AE35" s="14" t="inlineStr">
        <is>
          <t>https://www.ugc.gov.in/Regulations</t>
        </is>
      </c>
      <c r="AF35" s="21">
        <f>IF($H35="","",IF($T35="To find","Not started",IF(($C35="")+($D35="")+($E35="")+($G35="")+($I35="")+($M35="")+($O35="")+($S35="")&gt;0,"Missing basic details",IF(AND($T35="Downloaded",($R35="")+($U35="")+($V35="")+(($W35="")*(RIGHT(LOWER($U35),4)=".pdf"))&gt;0),"Add file details",IF(AND($T35="Downloaded",LEN($X35)&lt;&gt;64),"Check SHA-256",IF(AND($Q35="",$R35=""),"Add a URL",IF($S35="No","Not official - replace",IF($M35="Not verified","Verify status","OK"))))))))</f>
        <v/>
      </c>
      <c r="AG35" s="21" t="inlineStr">
        <is>
          <t>Needs fix</t>
        </is>
      </c>
      <c r="AH35" s="21" t="inlineStr">
        <is>
          <t>Auto-QA 12-Oct-2026</t>
        </is>
      </c>
      <c r="AI35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36" ht="14.25" customHeight="1" s="35">
      <c r="A36" s="21" t="inlineStr">
        <is>
          <t>S-032</t>
        </is>
      </c>
      <c r="B36" s="21" t="inlineStr">
        <is>
          <t>Intern A</t>
        </is>
      </c>
      <c r="C36" s="21" t="inlineStr">
        <is>
          <t>2. Higher-Education Regulation</t>
        </is>
      </c>
      <c r="D36" s="21" t="inlineStr">
        <is>
          <t>UGC</t>
        </is>
      </c>
      <c r="E36" s="21" t="inlineStr">
        <is>
          <t>regulatory</t>
        </is>
      </c>
      <c r="F36" s="21" t="inlineStr">
        <is>
          <t>Good-practice standard</t>
        </is>
      </c>
      <c r="G36" s="21" t="inlineStr">
        <is>
          <t>UGC-014</t>
        </is>
      </c>
      <c r="H36" s="21" t="inlineStr">
        <is>
          <t>UGC internship guidelines</t>
        </is>
      </c>
      <c r="I36" s="21" t="inlineStr">
        <is>
          <t>Guideline</t>
        </is>
      </c>
      <c r="J36" s="21" t="n"/>
      <c r="K36" s="19" t="n"/>
      <c r="L36" s="19" t="n"/>
      <c r="M36" s="21" t="inlineStr">
        <is>
          <t>Not verified</t>
        </is>
      </c>
      <c r="N36" s="21" t="n"/>
      <c r="O36" s="21" t="n"/>
      <c r="P36" s="21" t="n"/>
      <c r="Q36" s="21" t="n"/>
      <c r="R36" s="21" t="n"/>
      <c r="S36" s="21" t="n"/>
      <c r="T36" s="21" t="inlineStr">
        <is>
          <t>Downloaded</t>
        </is>
      </c>
      <c r="U36" s="24" t="inlineStr">
        <is>
          <t>https://drive.google.com/drive/folders/1ZHdieeVU_fvMWe8NT_z3RLyr0nvQ5419?usp=drive_link</t>
        </is>
      </c>
      <c r="V36" s="21" t="n"/>
      <c r="W36" s="21" t="n"/>
      <c r="X36" s="21" t="n"/>
      <c r="Y36" s="21" t="inlineStr">
        <is>
          <t>No</t>
        </is>
      </c>
      <c r="Z36" s="21" t="n">
        <v>12</v>
      </c>
      <c r="AA36" s="21" t="inlineStr">
        <is>
          <t>document_index</t>
        </is>
      </c>
      <c r="AB36" s="21" t="n"/>
      <c r="AC36" s="19" t="n"/>
      <c r="AD36" s="21" t="n"/>
      <c r="AE36" s="14" t="inlineStr">
        <is>
          <t>https://www.ugc.gov.in/Guideline</t>
        </is>
      </c>
      <c r="AF36" s="21">
        <f>IF($H36="","",IF($T36="To find","Not started",IF(($C36="")+($D36="")+($E36="")+($G36="")+($I36="")+($M36="")+($O36="")+($S36="")&gt;0,"Missing basic details",IF(AND($T36="Downloaded",($R36="")+($U36="")+($V36="")+(($W36="")*(RIGHT(LOWER($U36),4)=".pdf"))&gt;0),"Add file details",IF(AND($T36="Downloaded",LEN($X36)&lt;&gt;64),"Check SHA-256",IF(AND($Q36="",$R36=""),"Add a URL",IF($S36="No","Not official - replace",IF($M36="Not verified","Verify status","OK"))))))))</f>
        <v/>
      </c>
      <c r="AG36" s="21" t="inlineStr">
        <is>
          <t>Needs fix</t>
        </is>
      </c>
      <c r="AH36" s="21" t="inlineStr">
        <is>
          <t>Auto-QA 12-Oct-2026</t>
        </is>
      </c>
      <c r="AI36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37" ht="14.25" customHeight="1" s="35">
      <c r="A37" s="21" t="inlineStr">
        <is>
          <t>S-033</t>
        </is>
      </c>
      <c r="B37" s="21" t="inlineStr">
        <is>
          <t>Intern A</t>
        </is>
      </c>
      <c r="C37" s="21" t="inlineStr">
        <is>
          <t>2. Higher-Education Regulation</t>
        </is>
      </c>
      <c r="D37" s="21" t="inlineStr">
        <is>
          <t>UGC</t>
        </is>
      </c>
      <c r="E37" s="21" t="inlineStr">
        <is>
          <t>regulatory</t>
        </is>
      </c>
      <c r="F37" s="21" t="inlineStr">
        <is>
          <t>Good-practice standard</t>
        </is>
      </c>
      <c r="G37" s="21" t="inlineStr">
        <is>
          <t>UGC-015</t>
        </is>
      </c>
      <c r="H37" s="21" t="inlineStr">
        <is>
          <t>UGC guidelines on academia-industry linkage</t>
        </is>
      </c>
      <c r="I37" s="21" t="inlineStr">
        <is>
          <t>Guideline</t>
        </is>
      </c>
      <c r="J37" s="21" t="n"/>
      <c r="K37" s="19" t="n"/>
      <c r="L37" s="19" t="n"/>
      <c r="M37" s="21" t="inlineStr">
        <is>
          <t>Not verified</t>
        </is>
      </c>
      <c r="N37" s="21" t="n"/>
      <c r="O37" s="21" t="n"/>
      <c r="P37" s="21" t="n"/>
      <c r="Q37" s="21" t="n"/>
      <c r="R37" s="21" t="n"/>
      <c r="S37" s="21" t="n"/>
      <c r="T37" s="21" t="inlineStr">
        <is>
          <t>Downloaded</t>
        </is>
      </c>
      <c r="U37" s="24" t="inlineStr">
        <is>
          <t>https://drive.google.com/drive/folders/1ZHdieeVU_fvMWe8NT_z3RLyr0nvQ5419?usp=drive_link</t>
        </is>
      </c>
      <c r="V37" s="21" t="n"/>
      <c r="W37" s="21" t="n"/>
      <c r="X37" s="21" t="n"/>
      <c r="Y37" s="21" t="inlineStr">
        <is>
          <t>No</t>
        </is>
      </c>
      <c r="Z37" s="21" t="n">
        <v>12</v>
      </c>
      <c r="AA37" s="21" t="inlineStr">
        <is>
          <t>document_index</t>
        </is>
      </c>
      <c r="AB37" s="21" t="n"/>
      <c r="AC37" s="19" t="n"/>
      <c r="AD37" s="21" t="n"/>
      <c r="AE37" s="14" t="inlineStr">
        <is>
          <t>https://www.ugc.gov.in/Guideline</t>
        </is>
      </c>
      <c r="AF37" s="21">
        <f>IF($H37="","",IF($T37="To find","Not started",IF(($C37="")+($D37="")+($E37="")+($G37="")+($I37="")+($M37="")+($O37="")+($S37="")&gt;0,"Missing basic details",IF(AND($T37="Downloaded",($R37="")+($U37="")+($V37="")+(($W37="")*(RIGHT(LOWER($U37),4)=".pdf"))&gt;0),"Add file details",IF(AND($T37="Downloaded",LEN($X37)&lt;&gt;64),"Check SHA-256",IF(AND($Q37="",$R37=""),"Add a URL",IF($S37="No","Not official - replace",IF($M37="Not verified","Verify status","OK"))))))))</f>
        <v/>
      </c>
      <c r="AG37" s="21" t="inlineStr">
        <is>
          <t>Needs fix</t>
        </is>
      </c>
      <c r="AH37" s="21" t="inlineStr">
        <is>
          <t>Auto-QA 12-Oct-2026</t>
        </is>
      </c>
      <c r="AI37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38" ht="14.25" customHeight="1" s="35">
      <c r="A38" s="21" t="inlineStr">
        <is>
          <t>S-034</t>
        </is>
      </c>
      <c r="B38" s="21" t="inlineStr">
        <is>
          <t>Intern A</t>
        </is>
      </c>
      <c r="C38" s="21" t="inlineStr">
        <is>
          <t>2. Higher-Education Regulation</t>
        </is>
      </c>
      <c r="D38" s="21" t="inlineStr">
        <is>
          <t>UGC</t>
        </is>
      </c>
      <c r="E38" s="21" t="inlineStr">
        <is>
          <t>regulatory</t>
        </is>
      </c>
      <c r="F38" s="21" t="inlineStr">
        <is>
          <t>Good-practice standard</t>
        </is>
      </c>
      <c r="G38" s="21" t="inlineStr">
        <is>
          <t>UGC-016</t>
        </is>
      </c>
      <c r="H38" s="21" t="inlineStr">
        <is>
          <t>UGC guidelines on internationalisation of higher education</t>
        </is>
      </c>
      <c r="I38" s="21" t="inlineStr">
        <is>
          <t>Guideline</t>
        </is>
      </c>
      <c r="J38" s="21" t="n"/>
      <c r="K38" s="19" t="n"/>
      <c r="L38" s="19" t="n"/>
      <c r="M38" s="21" t="inlineStr">
        <is>
          <t>Not verified</t>
        </is>
      </c>
      <c r="N38" s="21" t="n"/>
      <c r="O38" s="21" t="n"/>
      <c r="P38" s="21" t="n"/>
      <c r="Q38" s="21" t="n"/>
      <c r="R38" s="21" t="n"/>
      <c r="S38" s="21" t="n"/>
      <c r="T38" s="21" t="inlineStr">
        <is>
          <t>Downloaded</t>
        </is>
      </c>
      <c r="U38" s="24" t="inlineStr">
        <is>
          <t>https://drive.google.com/drive/folders/1ZHdieeVU_fvMWe8NT_z3RLyr0nvQ5419?usp=drive_link</t>
        </is>
      </c>
      <c r="V38" s="21" t="n"/>
      <c r="W38" s="21" t="n"/>
      <c r="X38" s="21" t="n"/>
      <c r="Y38" s="21" t="inlineStr">
        <is>
          <t>No</t>
        </is>
      </c>
      <c r="Z38" s="21" t="n">
        <v>12</v>
      </c>
      <c r="AA38" s="21" t="inlineStr">
        <is>
          <t>document_index</t>
        </is>
      </c>
      <c r="AB38" s="21" t="n"/>
      <c r="AC38" s="19" t="n"/>
      <c r="AD38" s="21" t="n"/>
      <c r="AE38" s="14" t="inlineStr">
        <is>
          <t>https://www.ugc.gov.in/Guideline</t>
        </is>
      </c>
      <c r="AF38" s="21">
        <f>IF($H38="","",IF($T38="To find","Not started",IF(($C38="")+($D38="")+($E38="")+($G38="")+($I38="")+($M38="")+($O38="")+($S38="")&gt;0,"Missing basic details",IF(AND($T38="Downloaded",($R38="")+($U38="")+($V38="")+(($W38="")*(RIGHT(LOWER($U38),4)=".pdf"))&gt;0),"Add file details",IF(AND($T38="Downloaded",LEN($X38)&lt;&gt;64),"Check SHA-256",IF(AND($Q38="",$R38=""),"Add a URL",IF($S38="No","Not official - replace",IF($M38="Not verified","Verify status","OK"))))))))</f>
        <v/>
      </c>
      <c r="AG38" s="21" t="inlineStr">
        <is>
          <t>Needs fix</t>
        </is>
      </c>
      <c r="AH38" s="21" t="inlineStr">
        <is>
          <t>Auto-QA 12-Oct-2026</t>
        </is>
      </c>
      <c r="AI38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39" ht="14.25" customHeight="1" s="35">
      <c r="A39" s="21" t="inlineStr">
        <is>
          <t>S-035</t>
        </is>
      </c>
      <c r="B39" s="21" t="inlineStr">
        <is>
          <t>Intern A</t>
        </is>
      </c>
      <c r="C39" s="21" t="inlineStr">
        <is>
          <t>2. Higher-Education Regulation</t>
        </is>
      </c>
      <c r="D39" s="21" t="inlineStr">
        <is>
          <t>UGC</t>
        </is>
      </c>
      <c r="E39" s="21" t="inlineStr">
        <is>
          <t>regulatory</t>
        </is>
      </c>
      <c r="F39" s="21" t="inlineStr">
        <is>
          <t>Good-practice standard</t>
        </is>
      </c>
      <c r="G39" s="21" t="inlineStr">
        <is>
          <t>UGC-017</t>
        </is>
      </c>
      <c r="H39" s="21" t="inlineStr">
        <is>
          <t>UGC guidelines on multiple entry and exit</t>
        </is>
      </c>
      <c r="I39" s="21" t="inlineStr">
        <is>
          <t>Guideline</t>
        </is>
      </c>
      <c r="J39" s="21" t="n"/>
      <c r="K39" s="19" t="n"/>
      <c r="L39" s="19" t="n"/>
      <c r="M39" s="21" t="inlineStr">
        <is>
          <t>Not verified</t>
        </is>
      </c>
      <c r="N39" s="21" t="n"/>
      <c r="O39" s="21" t="n"/>
      <c r="P39" s="21" t="n"/>
      <c r="Q39" s="21" t="n"/>
      <c r="R39" s="21" t="n"/>
      <c r="S39" s="21" t="n"/>
      <c r="T39" s="21" t="inlineStr">
        <is>
          <t>Downloaded</t>
        </is>
      </c>
      <c r="U39" s="24" t="inlineStr">
        <is>
          <t>https://drive.google.com/drive/folders/1ZHdieeVU_fvMWe8NT_z3RLyr0nvQ5419?usp=drive_link</t>
        </is>
      </c>
      <c r="V39" s="21" t="n"/>
      <c r="W39" s="21" t="n"/>
      <c r="X39" s="21" t="n"/>
      <c r="Y39" s="21" t="inlineStr">
        <is>
          <t>No</t>
        </is>
      </c>
      <c r="Z39" s="21" t="n">
        <v>12</v>
      </c>
      <c r="AA39" s="21" t="inlineStr">
        <is>
          <t>document_index</t>
        </is>
      </c>
      <c r="AB39" s="21" t="n"/>
      <c r="AC39" s="19" t="n"/>
      <c r="AD39" s="21" t="n"/>
      <c r="AE39" s="14" t="inlineStr">
        <is>
          <t>https://www.ugc.gov.in/Guideline</t>
        </is>
      </c>
      <c r="AF39" s="21">
        <f>IF($H39="","",IF($T39="To find","Not started",IF(($C39="")+($D39="")+($E39="")+($G39="")+($I39="")+($M39="")+($O39="")+($S39="")&gt;0,"Missing basic details",IF(AND($T39="Downloaded",($R39="")+($U39="")+($V39="")+(($W39="")*(RIGHT(LOWER($U39),4)=".pdf"))&gt;0),"Add file details",IF(AND($T39="Downloaded",LEN($X39)&lt;&gt;64),"Check SHA-256",IF(AND($Q39="",$R39=""),"Add a URL",IF($S39="No","Not official - replace",IF($M39="Not verified","Verify status","OK"))))))))</f>
        <v/>
      </c>
      <c r="AG39" s="21" t="inlineStr">
        <is>
          <t>Needs fix</t>
        </is>
      </c>
      <c r="AH39" s="21" t="inlineStr">
        <is>
          <t>Auto-QA 12-Oct-2026</t>
        </is>
      </c>
      <c r="AI39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40" ht="14.25" customHeight="1" s="35">
      <c r="A40" s="21" t="inlineStr">
        <is>
          <t>S-036</t>
        </is>
      </c>
      <c r="B40" s="21" t="inlineStr">
        <is>
          <t>Intern A</t>
        </is>
      </c>
      <c r="C40" s="21" t="inlineStr">
        <is>
          <t>2. Higher-Education Regulation</t>
        </is>
      </c>
      <c r="D40" s="21" t="inlineStr">
        <is>
          <t>UGC</t>
        </is>
      </c>
      <c r="E40" s="21" t="inlineStr">
        <is>
          <t>regulatory</t>
        </is>
      </c>
      <c r="F40" s="21" t="inlineStr">
        <is>
          <t>Good-practice standard</t>
        </is>
      </c>
      <c r="G40" s="21" t="inlineStr">
        <is>
          <t>UGC-018</t>
        </is>
      </c>
      <c r="H40" s="21" t="inlineStr">
        <is>
          <t>UGC guidelines on public self-disclosure by HEIs</t>
        </is>
      </c>
      <c r="I40" s="21" t="inlineStr">
        <is>
          <t>Guideline</t>
        </is>
      </c>
      <c r="J40" s="21" t="n"/>
      <c r="K40" s="19" t="n"/>
      <c r="L40" s="19" t="n"/>
      <c r="M40" s="21" t="inlineStr">
        <is>
          <t>Not verified</t>
        </is>
      </c>
      <c r="N40" s="21" t="n"/>
      <c r="O40" s="21" t="n"/>
      <c r="P40" s="21" t="n"/>
      <c r="Q40" s="21" t="n"/>
      <c r="R40" s="21" t="n"/>
      <c r="S40" s="21" t="n"/>
      <c r="T40" s="21" t="inlineStr">
        <is>
          <t>Downloaded</t>
        </is>
      </c>
      <c r="U40" s="24" t="inlineStr">
        <is>
          <t>https://drive.google.com/drive/folders/1ZHdieeVU_fvMWe8NT_z3RLyr0nvQ5419?usp=drive_link</t>
        </is>
      </c>
      <c r="V40" s="21" t="n"/>
      <c r="W40" s="21" t="n"/>
      <c r="X40" s="21" t="n"/>
      <c r="Y40" s="21" t="inlineStr">
        <is>
          <t>No</t>
        </is>
      </c>
      <c r="Z40" s="21" t="n">
        <v>12</v>
      </c>
      <c r="AA40" s="21" t="inlineStr">
        <is>
          <t>document_index</t>
        </is>
      </c>
      <c r="AB40" s="21" t="n"/>
      <c r="AC40" s="19" t="n"/>
      <c r="AD40" s="21" t="n"/>
      <c r="AE40" s="14" t="inlineStr">
        <is>
          <t>https://www.ugc.gov.in/Guideline</t>
        </is>
      </c>
      <c r="AF40" s="21">
        <f>IF($H40="","",IF($T40="To find","Not started",IF(($C40="")+($D40="")+($E40="")+($G40="")+($I40="")+($M40="")+($O40="")+($S40="")&gt;0,"Missing basic details",IF(AND($T40="Downloaded",($R40="")+($U40="")+($V40="")+(($W40="")*(RIGHT(LOWER($U40),4)=".pdf"))&gt;0),"Add file details",IF(AND($T40="Downloaded",LEN($X40)&lt;&gt;64),"Check SHA-256",IF(AND($Q40="",$R40=""),"Add a URL",IF($S40="No","Not official - replace",IF($M40="Not verified","Verify status","OK"))))))))</f>
        <v/>
      </c>
      <c r="AG40" s="21" t="inlineStr">
        <is>
          <t>Needs fix</t>
        </is>
      </c>
      <c r="AH40" s="21" t="inlineStr">
        <is>
          <t>Auto-QA 12-Oct-2026</t>
        </is>
      </c>
      <c r="AI40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41" ht="14.25" customHeight="1" s="35">
      <c r="A41" s="21" t="inlineStr">
        <is>
          <t>S-037</t>
        </is>
      </c>
      <c r="B41" s="21" t="inlineStr">
        <is>
          <t>Intern A</t>
        </is>
      </c>
      <c r="C41" s="21" t="inlineStr">
        <is>
          <t>2. Higher-Education Regulation</t>
        </is>
      </c>
      <c r="D41" s="21" t="inlineStr">
        <is>
          <t>UGC</t>
        </is>
      </c>
      <c r="E41" s="21" t="inlineStr">
        <is>
          <t>regulatory</t>
        </is>
      </c>
      <c r="F41" s="21" t="inlineStr">
        <is>
          <t>Good-practice standard</t>
        </is>
      </c>
      <c r="G41" s="21" t="inlineStr">
        <is>
          <t>UGC-019</t>
        </is>
      </c>
      <c r="H41" s="21" t="inlineStr">
        <is>
          <t>UGC guidelines on multidisciplinary education</t>
        </is>
      </c>
      <c r="I41" s="21" t="inlineStr">
        <is>
          <t>Guideline</t>
        </is>
      </c>
      <c r="J41" s="21" t="n"/>
      <c r="K41" s="19" t="n"/>
      <c r="L41" s="19" t="n"/>
      <c r="M41" s="21" t="inlineStr">
        <is>
          <t>Not verified</t>
        </is>
      </c>
      <c r="N41" s="21" t="n"/>
      <c r="O41" s="21" t="n"/>
      <c r="P41" s="21" t="n"/>
      <c r="Q41" s="21" t="n"/>
      <c r="R41" s="21" t="n"/>
      <c r="S41" s="21" t="n"/>
      <c r="T41" s="21" t="inlineStr">
        <is>
          <t>Downloaded</t>
        </is>
      </c>
      <c r="U41" s="24" t="inlineStr">
        <is>
          <t>https://drive.google.com/drive/folders/1ZHdieeVU_fvMWe8NT_z3RLyr0nvQ5419?usp=drive_link</t>
        </is>
      </c>
      <c r="V41" s="21" t="n"/>
      <c r="W41" s="21" t="n"/>
      <c r="X41" s="21" t="n"/>
      <c r="Y41" s="21" t="inlineStr">
        <is>
          <t>No</t>
        </is>
      </c>
      <c r="Z41" s="21" t="n">
        <v>12</v>
      </c>
      <c r="AA41" s="21" t="inlineStr">
        <is>
          <t>document_index</t>
        </is>
      </c>
      <c r="AB41" s="21" t="n"/>
      <c r="AC41" s="19" t="n"/>
      <c r="AD41" s="21" t="n"/>
      <c r="AE41" s="14" t="inlineStr">
        <is>
          <t>https://www.ugc.gov.in/Guideline</t>
        </is>
      </c>
      <c r="AF41" s="21">
        <f>IF($H41="","",IF($T41="To find","Not started",IF(($C41="")+($D41="")+($E41="")+($G41="")+($I41="")+($M41="")+($O41="")+($S41="")&gt;0,"Missing basic details",IF(AND($T41="Downloaded",($R41="")+($U41="")+($V41="")+(($W41="")*(RIGHT(LOWER($U41),4)=".pdf"))&gt;0),"Add file details",IF(AND($T41="Downloaded",LEN($X41)&lt;&gt;64),"Check SHA-256",IF(AND($Q41="",$R41=""),"Add a URL",IF($S41="No","Not official - replace",IF($M41="Not verified","Verify status","OK"))))))))</f>
        <v/>
      </c>
      <c r="AG41" s="21" t="inlineStr">
        <is>
          <t>Needs fix</t>
        </is>
      </c>
      <c r="AH41" s="21" t="inlineStr">
        <is>
          <t>Auto-QA 12-Oct-2026</t>
        </is>
      </c>
      <c r="AI41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42" ht="14.25" customHeight="1" s="35">
      <c r="A42" s="21" t="inlineStr">
        <is>
          <t>S-038</t>
        </is>
      </c>
      <c r="B42" s="21" t="inlineStr">
        <is>
          <t>Intern A</t>
        </is>
      </c>
      <c r="C42" s="21" t="inlineStr">
        <is>
          <t>2. Higher-Education Regulation</t>
        </is>
      </c>
      <c r="D42" s="21" t="inlineStr">
        <is>
          <t>Ministry of Education</t>
        </is>
      </c>
      <c r="E42" s="21" t="inlineStr">
        <is>
          <t>government_policy</t>
        </is>
      </c>
      <c r="F42" s="21" t="inlineStr">
        <is>
          <t>Authoritative quality framework</t>
        </is>
      </c>
      <c r="G42" s="21" t="inlineStr">
        <is>
          <t>MOE-001</t>
        </is>
      </c>
      <c r="H42" s="21" t="inlineStr">
        <is>
          <t>National Education Policy 2020</t>
        </is>
      </c>
      <c r="I42" s="21" t="inlineStr">
        <is>
          <t>Policy</t>
        </is>
      </c>
      <c r="J42" s="21" t="n"/>
      <c r="K42" s="19" t="n"/>
      <c r="L42" s="19" t="n"/>
      <c r="M42" s="21" t="inlineStr">
        <is>
          <t>Not verified</t>
        </is>
      </c>
      <c r="N42" s="21" t="n"/>
      <c r="O42" s="21" t="inlineStr">
        <is>
          <t>All HEIs</t>
        </is>
      </c>
      <c r="P42" s="21" t="n"/>
      <c r="Q42" s="21" t="n"/>
      <c r="R42" s="21" t="n"/>
      <c r="S42" s="21" t="n"/>
      <c r="T42" s="21" t="inlineStr">
        <is>
          <t>Downloaded</t>
        </is>
      </c>
      <c r="U42" s="24" t="inlineStr">
        <is>
          <t>https://drive.google.com/drive/folders/14ZGtFyWl8JNwt1gTxEb97-n5kyx5BW1q?usp=drive_link</t>
        </is>
      </c>
      <c r="V42" s="21" t="n"/>
      <c r="W42" s="21" t="n"/>
      <c r="X42" s="21" t="n"/>
      <c r="Y42" s="21" t="inlineStr">
        <is>
          <t>No</t>
        </is>
      </c>
      <c r="Z42" s="21" t="n">
        <v>12</v>
      </c>
      <c r="AA42" s="21" t="inlineStr">
        <is>
          <t>web_page</t>
        </is>
      </c>
      <c r="AB42" s="21" t="n"/>
      <c r="AC42" s="19" t="n"/>
      <c r="AD42" s="21" t="inlineStr">
        <is>
          <t>v0.1 auto-download failed (404 - old link moved). Open the official site in a browser and download manually.</t>
        </is>
      </c>
      <c r="AE42" s="14" t="inlineStr">
        <is>
          <t>https://www.education.gov.in/</t>
        </is>
      </c>
      <c r="AF42" s="21">
        <f>IF($H42="","",IF($T42="To find","Not started",IF(($C42="")+($D42="")+($E42="")+($G42="")+($I42="")+($M42="")+($O42="")+($S42="")&gt;0,"Missing basic details",IF(AND($T42="Downloaded",($R42="")+($U42="")+($V42="")+(($W42="")*(RIGHT(LOWER($U42),4)=".pdf"))&gt;0),"Add file details",IF(AND($T42="Downloaded",LEN($X42)&lt;&gt;64),"Check SHA-256",IF(AND($Q42="",$R42=""),"Add a URL",IF($S42="No","Not official - replace",IF($M42="Not verified","Verify status","OK"))))))))</f>
        <v/>
      </c>
      <c r="AG42" s="21" t="inlineStr">
        <is>
          <t>Needs fix</t>
        </is>
      </c>
      <c r="AH42" s="21" t="inlineStr">
        <is>
          <t>Auto-QA 12-Oct-2026</t>
        </is>
      </c>
      <c r="AI42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</t>
        </is>
      </c>
    </row>
    <row r="43" ht="14.25" customHeight="1" s="35">
      <c r="A43" s="21" t="inlineStr">
        <is>
          <t>S-039</t>
        </is>
      </c>
      <c r="B43" s="21" t="inlineStr">
        <is>
          <t>Intern A</t>
        </is>
      </c>
      <c r="C43" s="21" t="inlineStr">
        <is>
          <t>4. Student Protection &amp; Inclusion</t>
        </is>
      </c>
      <c r="D43" s="21" t="inlineStr">
        <is>
          <t>UGC</t>
        </is>
      </c>
      <c r="E43" s="21" t="inlineStr">
        <is>
          <t>regulatory</t>
        </is>
      </c>
      <c r="F43" s="21" t="inlineStr">
        <is>
          <t>Mandatory</t>
        </is>
      </c>
      <c r="G43" s="21" t="inlineStr">
        <is>
          <t>UGC-020</t>
        </is>
      </c>
      <c r="H43" s="21" t="inlineStr">
        <is>
          <t>UGC (Redress of Grievances of Students) Regulations</t>
        </is>
      </c>
      <c r="I43" s="21" t="inlineStr">
        <is>
          <t>Regulation</t>
        </is>
      </c>
      <c r="J43" s="21" t="n"/>
      <c r="K43" s="19" t="n"/>
      <c r="L43" s="19" t="n"/>
      <c r="M43" s="21" t="inlineStr">
        <is>
          <t>Not verified</t>
        </is>
      </c>
      <c r="N43" s="21" t="n"/>
      <c r="O43" s="21" t="n"/>
      <c r="P43" s="21" t="n"/>
      <c r="Q43" s="21" t="n"/>
      <c r="R43" s="21" t="n"/>
      <c r="S43" s="21" t="n"/>
      <c r="T43" s="21" t="inlineStr">
        <is>
          <t>Downloaded</t>
        </is>
      </c>
      <c r="U43" s="24" t="inlineStr">
        <is>
          <t>https://drive.google.com/drive/folders/12ofXhDk0-s-f4gRiPnlIKA-APC8r7P41?usp=drive_link</t>
        </is>
      </c>
      <c r="V43" s="21" t="n"/>
      <c r="W43" s="21" t="n"/>
      <c r="X43" s="21" t="n"/>
      <c r="Y43" s="21" t="inlineStr">
        <is>
          <t>No</t>
        </is>
      </c>
      <c r="Z43" s="21" t="n">
        <v>3</v>
      </c>
      <c r="AA43" s="21" t="inlineStr">
        <is>
          <t>document_index</t>
        </is>
      </c>
      <c r="AB43" s="21" t="n"/>
      <c r="AC43" s="19" t="n"/>
      <c r="AD43" s="21" t="n"/>
      <c r="AE43" s="14" t="inlineStr">
        <is>
          <t>https://www.ugc.gov.in/Regulations</t>
        </is>
      </c>
      <c r="AF43" s="21">
        <f>IF($H43="","",IF($T43="To find","Not started",IF(($C43="")+($D43="")+($E43="")+($G43="")+($I43="")+($M43="")+($O43="")+($S43="")&gt;0,"Missing basic details",IF(AND($T43="Downloaded",($R43="")+($U43="")+($V43="")+(($W43="")*(RIGHT(LOWER($U43),4)=".pdf"))&gt;0),"Add file details",IF(AND($T43="Downloaded",LEN($X43)&lt;&gt;64),"Check SHA-256",IF(AND($Q43="",$R43=""),"Add a URL",IF($S43="No","Not official - replace",IF($M43="Not verified","Verify status","OK"))))))))</f>
        <v/>
      </c>
      <c r="AG43" s="21" t="inlineStr">
        <is>
          <t>Needs fix</t>
        </is>
      </c>
      <c r="AH43" s="21" t="inlineStr">
        <is>
          <t>Auto-QA 12-Oct-2026</t>
        </is>
      </c>
      <c r="AI43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44" ht="14.25" customHeight="1" s="35">
      <c r="A44" s="21" t="inlineStr">
        <is>
          <t>S-040</t>
        </is>
      </c>
      <c r="B44" s="21" t="inlineStr">
        <is>
          <t>Intern A</t>
        </is>
      </c>
      <c r="C44" s="21" t="inlineStr">
        <is>
          <t>4. Student Protection &amp; Inclusion</t>
        </is>
      </c>
      <c r="D44" s="21" t="inlineStr">
        <is>
          <t>UGC</t>
        </is>
      </c>
      <c r="E44" s="21" t="inlineStr">
        <is>
          <t>regulatory</t>
        </is>
      </c>
      <c r="F44" s="21" t="inlineStr">
        <is>
          <t>Mandatory</t>
        </is>
      </c>
      <c r="G44" s="21" t="inlineStr">
        <is>
          <t>UGC-021</t>
        </is>
      </c>
      <c r="H44" s="21" t="inlineStr">
        <is>
          <t>UGC Regulations on Curbing the Menace of Ragging in HEIs</t>
        </is>
      </c>
      <c r="I44" s="21" t="inlineStr">
        <is>
          <t>Regulation</t>
        </is>
      </c>
      <c r="J44" s="21" t="n"/>
      <c r="K44" s="19" t="n"/>
      <c r="L44" s="19" t="n"/>
      <c r="M44" s="21" t="inlineStr">
        <is>
          <t>Not verified</t>
        </is>
      </c>
      <c r="N44" s="21" t="n"/>
      <c r="O44" s="21" t="n"/>
      <c r="P44" s="21" t="n"/>
      <c r="Q44" s="21" t="n"/>
      <c r="R44" s="21" t="n"/>
      <c r="S44" s="21" t="n"/>
      <c r="T44" s="21" t="inlineStr">
        <is>
          <t>Downloaded</t>
        </is>
      </c>
      <c r="U44" s="24" t="inlineStr">
        <is>
          <t>https://drive.google.com/drive/folders/12ofXhDk0-s-f4gRiPnlIKA-APC8r7P41?usp=drive_link</t>
        </is>
      </c>
      <c r="V44" s="21" t="n"/>
      <c r="W44" s="21" t="n"/>
      <c r="X44" s="21" t="n"/>
      <c r="Y44" s="21" t="inlineStr">
        <is>
          <t>No</t>
        </is>
      </c>
      <c r="Z44" s="21" t="n">
        <v>3</v>
      </c>
      <c r="AA44" s="21" t="inlineStr">
        <is>
          <t>document_index</t>
        </is>
      </c>
      <c r="AB44" s="21" t="n"/>
      <c r="AC44" s="19" t="n"/>
      <c r="AD44" s="21" t="n"/>
      <c r="AE44" s="14" t="inlineStr">
        <is>
          <t>https://www.ugc.gov.in/Regulations</t>
        </is>
      </c>
      <c r="AF44" s="21">
        <f>IF($H44="","",IF($T44="To find","Not started",IF(($C44="")+($D44="")+($E44="")+($G44="")+($I44="")+($M44="")+($O44="")+($S44="")&gt;0,"Missing basic details",IF(AND($T44="Downloaded",($R44="")+($U44="")+($V44="")+(($W44="")*(RIGHT(LOWER($U44),4)=".pdf"))&gt;0),"Add file details",IF(AND($T44="Downloaded",LEN($X44)&lt;&gt;64),"Check SHA-256",IF(AND($Q44="",$R44=""),"Add a URL",IF($S44="No","Not official - replace",IF($M44="Not verified","Verify status","OK"))))))))</f>
        <v/>
      </c>
      <c r="AG44" s="21" t="inlineStr">
        <is>
          <t>Needs fix</t>
        </is>
      </c>
      <c r="AH44" s="21" t="inlineStr">
        <is>
          <t>Auto-QA 12-Oct-2026</t>
        </is>
      </c>
      <c r="AI44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45" ht="14.25" customHeight="1" s="35">
      <c r="A45" s="21" t="inlineStr">
        <is>
          <t>S-041</t>
        </is>
      </c>
      <c r="B45" s="21" t="inlineStr">
        <is>
          <t>Intern A</t>
        </is>
      </c>
      <c r="C45" s="21" t="inlineStr">
        <is>
          <t>4. Student Protection &amp; Inclusion</t>
        </is>
      </c>
      <c r="D45" s="21" t="inlineStr">
        <is>
          <t>UGC</t>
        </is>
      </c>
      <c r="E45" s="21" t="inlineStr">
        <is>
          <t>regulatory</t>
        </is>
      </c>
      <c r="F45" s="21" t="inlineStr">
        <is>
          <t>Mandatory</t>
        </is>
      </c>
      <c r="G45" s="21" t="inlineStr">
        <is>
          <t>UGC-022</t>
        </is>
      </c>
      <c r="H45" s="21" t="inlineStr">
        <is>
          <t>UGC regulations on prevention of sexual harassment of women employees and students in HEIs</t>
        </is>
      </c>
      <c r="I45" s="21" t="inlineStr">
        <is>
          <t>Regulation</t>
        </is>
      </c>
      <c r="J45" s="21" t="n"/>
      <c r="K45" s="19" t="n"/>
      <c r="L45" s="19" t="n"/>
      <c r="M45" s="21" t="inlineStr">
        <is>
          <t>Not verified</t>
        </is>
      </c>
      <c r="N45" s="21" t="n"/>
      <c r="O45" s="21" t="n"/>
      <c r="P45" s="21" t="n"/>
      <c r="Q45" s="21" t="n"/>
      <c r="R45" s="21" t="n"/>
      <c r="S45" s="21" t="n"/>
      <c r="T45" s="21" t="inlineStr">
        <is>
          <t>Downloaded</t>
        </is>
      </c>
      <c r="U45" s="24" t="inlineStr">
        <is>
          <t>https://drive.google.com/drive/folders/12ofXhDk0-s-f4gRiPnlIKA-APC8r7P41?usp=drive_link</t>
        </is>
      </c>
      <c r="V45" s="21" t="n"/>
      <c r="W45" s="21" t="n"/>
      <c r="X45" s="21" t="n"/>
      <c r="Y45" s="21" t="inlineStr">
        <is>
          <t>No</t>
        </is>
      </c>
      <c r="Z45" s="21" t="n">
        <v>3</v>
      </c>
      <c r="AA45" s="21" t="inlineStr">
        <is>
          <t>document_index</t>
        </is>
      </c>
      <c r="AB45" s="21" t="n"/>
      <c r="AC45" s="19" t="n"/>
      <c r="AD45" s="21" t="n"/>
      <c r="AE45" s="14" t="inlineStr">
        <is>
          <t>https://www.ugc.gov.in/Regulations</t>
        </is>
      </c>
      <c r="AF45" s="21">
        <f>IF($H45="","",IF($T45="To find","Not started",IF(($C45="")+($D45="")+($E45="")+($G45="")+($I45="")+($M45="")+($O45="")+($S45="")&gt;0,"Missing basic details",IF(AND($T45="Downloaded",($R45="")+($U45="")+($V45="")+(($W45="")*(RIGHT(LOWER($U45),4)=".pdf"))&gt;0),"Add file details",IF(AND($T45="Downloaded",LEN($X45)&lt;&gt;64),"Check SHA-256",IF(AND($Q45="",$R45=""),"Add a URL",IF($S45="No","Not official - replace",IF($M45="Not verified","Verify status","OK"))))))))</f>
        <v/>
      </c>
      <c r="AG45" s="21" t="inlineStr">
        <is>
          <t>Needs fix</t>
        </is>
      </c>
      <c r="AH45" s="21" t="inlineStr">
        <is>
          <t>Auto-QA 12-Oct-2026</t>
        </is>
      </c>
      <c r="AI45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46" ht="14.25" customHeight="1" s="35">
      <c r="A46" s="21" t="inlineStr">
        <is>
          <t>S-042</t>
        </is>
      </c>
      <c r="B46" s="21" t="inlineStr">
        <is>
          <t>Intern A</t>
        </is>
      </c>
      <c r="C46" s="21" t="inlineStr">
        <is>
          <t>4. Student Protection &amp; Inclusion</t>
        </is>
      </c>
      <c r="D46" s="21" t="inlineStr">
        <is>
          <t>Parliament of India</t>
        </is>
      </c>
      <c r="E46" s="21" t="inlineStr">
        <is>
          <t>regulatory</t>
        </is>
      </c>
      <c r="F46" s="21" t="inlineStr">
        <is>
          <t>Mandatory</t>
        </is>
      </c>
      <c r="G46" s="21" t="inlineStr">
        <is>
          <t>LAW-001</t>
        </is>
      </c>
      <c r="H46" s="21" t="inlineStr">
        <is>
          <t>Sexual Harassment of Women at Workplace (Prevention, Prohibition and Redressal) Act, 2013 and Rules</t>
        </is>
      </c>
      <c r="I46" s="21" t="inlineStr">
        <is>
          <t>Act / Law</t>
        </is>
      </c>
      <c r="J46" s="21" t="n"/>
      <c r="K46" s="19" t="n"/>
      <c r="L46" s="19" t="n"/>
      <c r="M46" s="21" t="inlineStr">
        <is>
          <t>Not verified</t>
        </is>
      </c>
      <c r="N46" s="21" t="n"/>
      <c r="O46" s="21" t="n"/>
      <c r="P46" s="21" t="n"/>
      <c r="Q46" s="21" t="n"/>
      <c r="R46" s="21" t="n"/>
      <c r="S46" s="21" t="n"/>
      <c r="T46" s="21" t="inlineStr">
        <is>
          <t>Downloaded</t>
        </is>
      </c>
      <c r="U46" s="24" t="inlineStr">
        <is>
          <t>https://drive.google.com/drive/folders/1qh0Smf7rTkLe1WIp34b_p4HbCqyUCgir?usp=drive_link</t>
        </is>
      </c>
      <c r="V46" s="21" t="n"/>
      <c r="W46" s="21" t="n"/>
      <c r="X46" s="21" t="n"/>
      <c r="Y46" s="21" t="inlineStr">
        <is>
          <t>No</t>
        </is>
      </c>
      <c r="Z46" s="21" t="n">
        <v>12</v>
      </c>
      <c r="AA46" s="21" t="inlineStr">
        <is>
          <t>web_page</t>
        </is>
      </c>
      <c r="AB46" s="21" t="n"/>
      <c r="AC46" s="19" t="n"/>
      <c r="AD46" s="21" t="inlineStr">
        <is>
          <t>Use the official Gazette / India Code (indiacode.nic.in) copy only.</t>
        </is>
      </c>
      <c r="AE46" s="21" t="n"/>
      <c r="AF46" s="21">
        <f>IF($H46="","",IF($T46="To find","Not started",IF(($C46="")+($D46="")+($E46="")+($G46="")+($I46="")+($M46="")+($O46="")+($S46="")&gt;0,"Missing basic details",IF(AND($T46="Downloaded",($R46="")+($U46="")+($V46="")+(($W46="")*(RIGHT(LOWER($U46),4)=".pdf"))&gt;0),"Add file details",IF(AND($T46="Downloaded",LEN($X46)&lt;&gt;64),"Check SHA-256",IF(AND($Q46="",$R46=""),"Add a URL",IF($S46="No","Not official - replace",IF($M46="Not verified","Verify status","OK"))))))))</f>
        <v/>
      </c>
      <c r="AG46" s="21" t="inlineStr">
        <is>
          <t>Needs fix</t>
        </is>
      </c>
      <c r="AH46" s="21" t="inlineStr">
        <is>
          <t>Auto-QA 12-Oct-2026</t>
        </is>
      </c>
      <c r="AI46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47" ht="14.25" customHeight="1" s="35">
      <c r="A47" s="21" t="inlineStr">
        <is>
          <t>S-043</t>
        </is>
      </c>
      <c r="B47" s="21" t="inlineStr">
        <is>
          <t>Intern A</t>
        </is>
      </c>
      <c r="C47" s="21" t="inlineStr">
        <is>
          <t>4. Student Protection &amp; Inclusion</t>
        </is>
      </c>
      <c r="D47" s="21" t="inlineStr">
        <is>
          <t>Parliament of India</t>
        </is>
      </c>
      <c r="E47" s="21" t="inlineStr">
        <is>
          <t>regulatory</t>
        </is>
      </c>
      <c r="F47" s="21" t="inlineStr">
        <is>
          <t>Mandatory</t>
        </is>
      </c>
      <c r="G47" s="21" t="inlineStr">
        <is>
          <t>LAW-002</t>
        </is>
      </c>
      <c r="H47" s="21" t="inlineStr">
        <is>
          <t>Rights of Persons with Disabilities Act, 2016 and Rules</t>
        </is>
      </c>
      <c r="I47" s="21" t="inlineStr">
        <is>
          <t>Act / Law</t>
        </is>
      </c>
      <c r="J47" s="21" t="n"/>
      <c r="K47" s="19" t="n"/>
      <c r="L47" s="19" t="n"/>
      <c r="M47" s="21" t="inlineStr">
        <is>
          <t>Not verified</t>
        </is>
      </c>
      <c r="N47" s="21" t="n"/>
      <c r="O47" s="21" t="n"/>
      <c r="P47" s="21" t="n"/>
      <c r="Q47" s="20" t="inlineStr">
        <is>
          <t>https://depwd.gov.in/en/document-category/acts/</t>
        </is>
      </c>
      <c r="R47" s="21" t="n"/>
      <c r="S47" s="21" t="n"/>
      <c r="T47" s="21" t="inlineStr">
        <is>
          <t>Downloaded</t>
        </is>
      </c>
      <c r="U47" s="24" t="inlineStr">
        <is>
          <t>https://drive.google.com/drive/folders/1qh0Smf7rTkLe1WIp34b_p4HbCqyUCgir?usp=drive_link</t>
        </is>
      </c>
      <c r="V47" s="21" t="n"/>
      <c r="W47" s="21" t="n"/>
      <c r="X47" s="21" t="n"/>
      <c r="Y47" s="21" t="inlineStr">
        <is>
          <t>No</t>
        </is>
      </c>
      <c r="Z47" s="21" t="n">
        <v>12</v>
      </c>
      <c r="AA47" s="21" t="inlineStr">
        <is>
          <t>web_page</t>
        </is>
      </c>
      <c r="AB47" s="21" t="n"/>
      <c r="AC47" s="19" t="n"/>
      <c r="AD47" s="21" t="inlineStr">
        <is>
          <t>Use the official Gazette / India Code (indiacode.nic.in) copy only.</t>
        </is>
      </c>
      <c r="AE47" s="21" t="n"/>
      <c r="AF47" s="21">
        <f>IF($H47="","",IF($T47="To find","Not started",IF(($C47="")+($D47="")+($E47="")+($G47="")+($I47="")+($M47="")+($O47="")+($S47="")&gt;0,"Missing basic details",IF(AND($T47="Downloaded",($R47="")+($U47="")+($V47="")+(($W47="")*(RIGHT(LOWER($U47),4)=".pdf"))&gt;0),"Add file details",IF(AND($T47="Downloaded",LEN($X47)&lt;&gt;64),"Check SHA-256",IF(AND($Q47="",$R47=""),"Add a URL",IF($S47="No","Not official - replace",IF($M47="Not verified","Verify status","OK"))))))))</f>
        <v/>
      </c>
      <c r="AG47" s="21" t="inlineStr">
        <is>
          <t>Needs fix</t>
        </is>
      </c>
      <c r="AH47" s="21" t="inlineStr">
        <is>
          <t>Auto-QA 12-Oct-2026</t>
        </is>
      </c>
      <c r="AI47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48" ht="14.25" customHeight="1" s="35">
      <c r="A48" s="21" t="inlineStr">
        <is>
          <t>S-044</t>
        </is>
      </c>
      <c r="B48" s="21" t="inlineStr">
        <is>
          <t>Intern A</t>
        </is>
      </c>
      <c r="C48" s="21" t="inlineStr">
        <is>
          <t>4. Student Protection &amp; Inclusion</t>
        </is>
      </c>
      <c r="D48" s="21" t="inlineStr">
        <is>
          <t>Other (write in notes)</t>
        </is>
      </c>
      <c r="E48" s="21" t="inlineStr">
        <is>
          <t>government_policy</t>
        </is>
      </c>
      <c r="F48" s="21" t="inlineStr">
        <is>
          <t>Mandatory</t>
        </is>
      </c>
      <c r="G48" s="21" t="inlineStr">
        <is>
          <t>WEL-001</t>
        </is>
      </c>
      <c r="H48" s="21" t="inlineStr">
        <is>
          <t>Government student safety, security and welfare requirements (identify applicable ones)</t>
        </is>
      </c>
      <c r="I48" s="21" t="inlineStr">
        <is>
          <t>Guideline</t>
        </is>
      </c>
      <c r="J48" s="21" t="n"/>
      <c r="K48" s="19" t="n"/>
      <c r="L48" s="19" t="n"/>
      <c r="M48" s="21" t="inlineStr">
        <is>
          <t>Not verified</t>
        </is>
      </c>
      <c r="N48" s="21" t="n"/>
      <c r="O48" s="21" t="n"/>
      <c r="P48" s="21" t="n"/>
      <c r="Q48" s="21" t="n"/>
      <c r="R48" s="21" t="n"/>
      <c r="S48" s="21" t="n"/>
      <c r="T48" s="21" t="inlineStr">
        <is>
          <t>Downloaded</t>
        </is>
      </c>
      <c r="U48" s="24" t="inlineStr">
        <is>
          <t>https://drive.google.com/drive/folders/1HT1E0nIgCEXzKLw9tW-JlYxAqB3q1dzg?usp=drive_link</t>
        </is>
      </c>
      <c r="V48" s="21" t="n"/>
      <c r="W48" s="21" t="n"/>
      <c r="X48" s="21" t="n"/>
      <c r="Y48" s="21" t="inlineStr">
        <is>
          <t>No</t>
        </is>
      </c>
      <c r="Z48" s="21" t="n">
        <v>12</v>
      </c>
      <c r="AA48" s="21" t="inlineStr">
        <is>
          <t>web_page</t>
        </is>
      </c>
      <c r="AB48" s="21" t="n"/>
      <c r="AC48" s="19" t="n"/>
      <c r="AD48" s="21" t="inlineStr">
        <is>
          <t>Research task: list each applicable official document as its own row.</t>
        </is>
      </c>
      <c r="AE48" s="21" t="n"/>
      <c r="AF48" s="21">
        <f>IF($H48="","",IF($T48="To find","Not started",IF(($C48="")+($D48="")+($E48="")+($G48="")+($I48="")+($M48="")+($O48="")+($S48="")&gt;0,"Missing basic details",IF(AND($T48="Downloaded",($R48="")+($U48="")+($V48="")+(($W48="")*(RIGHT(LOWER($U48),4)=".pdf"))&gt;0),"Add file details",IF(AND($T48="Downloaded",LEN($X48)&lt;&gt;64),"Check SHA-256",IF(AND($Q48="",$R48=""),"Add a URL",IF($S48="No","Not official - replace",IF($M48="Not verified","Verify status","OK"))))))))</f>
        <v/>
      </c>
      <c r="AG48" s="21" t="inlineStr">
        <is>
          <t>Needs fix</t>
        </is>
      </c>
      <c r="AH48" s="21" t="inlineStr">
        <is>
          <t>Auto-QA 12-Oct-2026</t>
        </is>
      </c>
      <c r="AI48" s="21" t="inlineStr">
        <is>
          <t>1) Title is still the template placeholder - replace with the exact official title, one row per document (add rows for the others). | 2) Drive link is a FOLDER - link the exact file (drive.google.com/file/d/...). | 3) Downloaded but missing: Direct Document URL, File Size (KB), SHA-256 Checksum, Version / Edition, Issued On. | 4) Set Current Status from the document (Current / Superseded ...). | 5) Fill "Applies To".</t>
        </is>
      </c>
    </row>
    <row r="49" ht="14.25" customHeight="1" s="35">
      <c r="A49" s="21" t="inlineStr">
        <is>
          <t>S-045</t>
        </is>
      </c>
      <c r="B49" s="21" t="inlineStr">
        <is>
          <t>Intern A</t>
        </is>
      </c>
      <c r="C49" s="21" t="inlineStr">
        <is>
          <t>7. Research, Innovation &amp; Impact</t>
        </is>
      </c>
      <c r="D49" s="21" t="inlineStr">
        <is>
          <t>ANRF</t>
        </is>
      </c>
      <c r="E49" s="21" t="inlineStr">
        <is>
          <t>government_policy</t>
        </is>
      </c>
      <c r="F49" s="21" t="inlineStr">
        <is>
          <t>Intelligence signal</t>
        </is>
      </c>
      <c r="G49" s="21" t="inlineStr">
        <is>
          <t>ANRF-001</t>
        </is>
      </c>
      <c r="H49" s="21" t="inlineStr">
        <is>
          <t>ANRF research programmes (grants, Impact CoE, Catalytic Partnership, MAHA)</t>
        </is>
      </c>
      <c r="I49" s="21" t="inlineStr">
        <is>
          <t>Portal page</t>
        </is>
      </c>
      <c r="J49" s="21" t="n"/>
      <c r="K49" s="19" t="n"/>
      <c r="L49" s="19" t="n"/>
      <c r="M49" s="21" t="inlineStr">
        <is>
          <t>Not verified</t>
        </is>
      </c>
      <c r="N49" s="21" t="n"/>
      <c r="O49" s="21" t="n"/>
      <c r="P49" s="21" t="n"/>
      <c r="Q49" s="21" t="n"/>
      <c r="R49" s="21" t="n"/>
      <c r="S49" s="21" t="n"/>
      <c r="T49" s="21" t="inlineStr">
        <is>
          <t>Downloaded</t>
        </is>
      </c>
      <c r="U49" s="24" t="inlineStr">
        <is>
          <t>https://drive.google.com/drive/folders/1dNCbS_nZOuLBPwjeBywToyKJowV-KK0p?usp=drive_link</t>
        </is>
      </c>
      <c r="V49" s="21" t="n"/>
      <c r="W49" s="21" t="n"/>
      <c r="X49" s="21" t="n"/>
      <c r="Y49" s="21" t="inlineStr">
        <is>
          <t>No</t>
        </is>
      </c>
      <c r="Z49" s="21" t="n">
        <v>3</v>
      </c>
      <c r="AA49" s="21" t="inlineStr">
        <is>
          <t>web_page</t>
        </is>
      </c>
      <c r="AB49" s="21" t="n"/>
      <c r="AC49" s="19" t="n"/>
      <c r="AD49" s="21" t="inlineStr">
        <is>
          <t>One row per programme document.</t>
        </is>
      </c>
      <c r="AE49" s="21" t="n"/>
      <c r="AF49" s="21">
        <f>IF($H49="","",IF($T49="To find","Not started",IF(($C49="")+($D49="")+($E49="")+($G49="")+($I49="")+($M49="")+($O49="")+($S49="")&gt;0,"Missing basic details",IF(AND($T49="Downloaded",($R49="")+($U49="")+($V49="")+(($W49="")*(RIGHT(LOWER($U49),4)=".pdf"))&gt;0),"Add file details",IF(AND($T49="Downloaded",LEN($X49)&lt;&gt;64),"Check SHA-256",IF(AND($Q49="",$R49=""),"Add a URL",IF($S49="No","Not official - replace",IF($M49="Not verified","Verify status","OK"))))))))</f>
        <v/>
      </c>
      <c r="AG49" s="21" t="inlineStr">
        <is>
          <t>Needs fix</t>
        </is>
      </c>
      <c r="AH49" s="21" t="inlineStr">
        <is>
          <t>Auto-QA 12-Oct-2026</t>
        </is>
      </c>
      <c r="AI49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50" ht="14.25" customHeight="1" s="35">
      <c r="A50" s="21" t="inlineStr">
        <is>
          <t>S-046</t>
        </is>
      </c>
      <c r="B50" s="21" t="inlineStr">
        <is>
          <t>Intern A</t>
        </is>
      </c>
      <c r="C50" s="21" t="inlineStr">
        <is>
          <t>7. Research, Innovation &amp; Impact</t>
        </is>
      </c>
      <c r="D50" s="21" t="inlineStr">
        <is>
          <t>Other (write in notes)</t>
        </is>
      </c>
      <c r="E50" s="21" t="inlineStr">
        <is>
          <t>government_policy</t>
        </is>
      </c>
      <c r="F50" s="21" t="inlineStr">
        <is>
          <t>Intelligence signal</t>
        </is>
      </c>
      <c r="G50" s="21" t="inlineStr">
        <is>
          <t>RES-001</t>
        </is>
      </c>
      <c r="H50" s="21" t="inlineStr">
        <is>
          <t>DST / DBT / MeitY / BIRAC / ISRO / DRDO research-call pages</t>
        </is>
      </c>
      <c r="I50" s="21" t="inlineStr">
        <is>
          <t>Portal page</t>
        </is>
      </c>
      <c r="J50" s="21" t="n"/>
      <c r="K50" s="19" t="n"/>
      <c r="L50" s="19" t="n"/>
      <c r="M50" s="21" t="inlineStr">
        <is>
          <t>Not verified</t>
        </is>
      </c>
      <c r="N50" s="21" t="n"/>
      <c r="O50" s="21" t="n"/>
      <c r="P50" s="21" t="n"/>
      <c r="Q50" s="21" t="n"/>
      <c r="R50" s="21" t="n"/>
      <c r="S50" s="21" t="n"/>
      <c r="T50" s="21" t="inlineStr">
        <is>
          <t>Downloaded</t>
        </is>
      </c>
      <c r="U50" s="20" t="inlineStr">
        <is>
          <t>https://drive.google.com/drive/folders/14IuvtQDAEPeddjnKBm6qR83OP-k1odET?usp=drive_link</t>
        </is>
      </c>
      <c r="V50" s="21" t="n"/>
      <c r="W50" s="21" t="n"/>
      <c r="X50" s="21" t="n"/>
      <c r="Y50" s="21" t="inlineStr">
        <is>
          <t>No</t>
        </is>
      </c>
      <c r="Z50" s="21" t="n">
        <v>1</v>
      </c>
      <c r="AA50" s="21" t="inlineStr">
        <is>
          <t>web_page</t>
        </is>
      </c>
      <c r="AB50" s="21" t="n"/>
      <c r="AC50" s="19" t="n"/>
      <c r="AD50" s="21" t="inlineStr">
        <is>
          <t>Intelligence signal: one row per agency call page, not every call.</t>
        </is>
      </c>
      <c r="AE50" s="21" t="n"/>
      <c r="AF50" s="21">
        <f>IF($H50="","",IF($T50="To find","Not started",IF(($C50="")+($D50="")+($E50="")+($G50="")+($I50="")+($M50="")+($O50="")+($S50="")&gt;0,"Missing basic details",IF(AND($T50="Downloaded",($R50="")+($U50="")+($V50="")+(($W50="")*(RIGHT(LOWER($U50),4)=".pdf"))&gt;0),"Add file details",IF(AND($T50="Downloaded",LEN($X50)&lt;&gt;64),"Check SHA-256",IF(AND($Q50="",$R50=""),"Add a URL",IF($S50="No","Not official - replace",IF($M50="Not verified","Verify status","OK"))))))))</f>
        <v/>
      </c>
      <c r="AG50" s="21" t="inlineStr">
        <is>
          <t>Needs fix</t>
        </is>
      </c>
      <c r="AH50" s="21" t="inlineStr">
        <is>
          <t>Auto-QA 12-Oct-2026</t>
        </is>
      </c>
      <c r="AI50" s="21" t="inlineStr">
        <is>
          <t>1) Title is still the template placeholder - replace with the exact official title, one row per document (add rows for the others). | 2) Drive link is a FOLDER - link the exact file (drive.google.com/file/d/...). | 3) Downloaded but missing: Direct Document URL, File Size (KB), SHA-256 Checksum, Version / Edition, Issued On. | 4) Set Current Status from the document (Current / Superseded ...). | 5) Fill "Applies To".</t>
        </is>
      </c>
    </row>
    <row r="51" ht="14.25" customHeight="1" s="35">
      <c r="A51" s="21" t="inlineStr">
        <is>
          <t>S-047</t>
        </is>
      </c>
      <c r="B51" s="21" t="inlineStr">
        <is>
          <t>Intern A</t>
        </is>
      </c>
      <c r="C51" s="21" t="inlineStr">
        <is>
          <t>7. Research, Innovation &amp; Impact</t>
        </is>
      </c>
      <c r="D51" s="21" t="inlineStr">
        <is>
          <t>Other (write in notes)</t>
        </is>
      </c>
      <c r="E51" s="21" t="inlineStr">
        <is>
          <t>government_policy</t>
        </is>
      </c>
      <c r="F51" s="21" t="inlineStr">
        <is>
          <t>Good-practice standard</t>
        </is>
      </c>
      <c r="G51" s="21" t="inlineStr">
        <is>
          <t>RES-002</t>
        </is>
      </c>
      <c r="H51" s="21" t="inlineStr">
        <is>
          <t>IP, technology-transfer and startup / incubation policy sources</t>
        </is>
      </c>
      <c r="I51" s="21" t="inlineStr">
        <is>
          <t>Policy</t>
        </is>
      </c>
      <c r="J51" s="21" t="n"/>
      <c r="K51" s="19" t="n"/>
      <c r="L51" s="19" t="n"/>
      <c r="M51" s="21" t="inlineStr">
        <is>
          <t>Not verified</t>
        </is>
      </c>
      <c r="N51" s="21" t="n"/>
      <c r="O51" s="21" t="n"/>
      <c r="P51" s="21" t="n"/>
      <c r="Q51" s="21" t="n"/>
      <c r="R51" s="21" t="n"/>
      <c r="S51" s="21" t="inlineStr">
        <is>
          <t>Yes</t>
        </is>
      </c>
      <c r="T51" s="21" t="inlineStr">
        <is>
          <t>Downloaded</t>
        </is>
      </c>
      <c r="U51" s="24" t="inlineStr">
        <is>
          <t>https://drive.google.com/drive/folders/14IuvtQDAEPeddjnKBm6qR83OP-k1odET?usp=drive_link</t>
        </is>
      </c>
      <c r="V51" s="21" t="n"/>
      <c r="W51" s="21" t="n"/>
      <c r="X51" s="21" t="n"/>
      <c r="Y51" s="21" t="inlineStr">
        <is>
          <t>No</t>
        </is>
      </c>
      <c r="Z51" s="21" t="n">
        <v>12</v>
      </c>
      <c r="AA51" s="21" t="inlineStr">
        <is>
          <t>web_page</t>
        </is>
      </c>
      <c r="AB51" s="21" t="n"/>
      <c r="AC51" s="19" t="n"/>
      <c r="AD51" s="21" t="inlineStr">
        <is>
          <t>Research task: identify the official national policy documents.</t>
        </is>
      </c>
      <c r="AE51" s="21" t="n"/>
      <c r="AF51" s="21">
        <f>IF($H51="","",IF($T51="To find","Not started",IF(($C51="")+($D51="")+($E51="")+($G51="")+($I51="")+($M51="")+($O51="")+($S51="")&gt;0,"Missing basic details",IF(AND($T51="Downloaded",($R51="")+($U51="")+($V51="")+(($W51="")*(RIGHT(LOWER($U51),4)=".pdf"))&gt;0),"Add file details",IF(AND($T51="Downloaded",LEN($X51)&lt;&gt;64),"Check SHA-256",IF(AND($Q51="",$R51=""),"Add a URL",IF($S51="No","Not official - replace",IF($M51="Not verified","Verify status","OK"))))))))</f>
        <v/>
      </c>
      <c r="AG51" s="21" t="inlineStr">
        <is>
          <t>Needs fix</t>
        </is>
      </c>
      <c r="AH51" s="21" t="inlineStr">
        <is>
          <t>Auto-QA 12-Oct-2026</t>
        </is>
      </c>
      <c r="AI51" s="21" t="inlineStr">
        <is>
          <t>1) Title is still the template placeholder - replace with the exact official title, one row per document (add rows for the others). | 2) Drive link is a FOLDER - link the exact file (drive.google.com/file/d/...). | 3) Downloaded but missing: Direct Document URL, File Size (KB), SHA-256 Checksum, Version / Edition, Issued On. | 4) Set Current Status from the document (Current / Superseded ...). | 5) Fill "Applies To".</t>
        </is>
      </c>
    </row>
    <row r="52" ht="14.25" customHeight="1" s="35">
      <c r="A52" s="21" t="inlineStr">
        <is>
          <t>S-048</t>
        </is>
      </c>
      <c r="B52" s="21" t="inlineStr">
        <is>
          <t>Intern A</t>
        </is>
      </c>
      <c r="C52" s="21" t="inlineStr">
        <is>
          <t>7. Research, Innovation &amp; Impact</t>
        </is>
      </c>
      <c r="D52" s="21" t="inlineStr">
        <is>
          <t>Other (write in notes)</t>
        </is>
      </c>
      <c r="E52" s="21" t="inlineStr">
        <is>
          <t>government_policy</t>
        </is>
      </c>
      <c r="F52" s="21" t="inlineStr">
        <is>
          <t>Good-practice standard</t>
        </is>
      </c>
      <c r="G52" s="21" t="inlineStr">
        <is>
          <t>RES-003</t>
        </is>
      </c>
      <c r="H52" s="21" t="inlineStr">
        <is>
          <t>Research ethics, research-data and publication-integrity sources</t>
        </is>
      </c>
      <c r="I52" s="21" t="inlineStr">
        <is>
          <t>Guideline</t>
        </is>
      </c>
      <c r="J52" s="21" t="n"/>
      <c r="K52" s="19" t="n"/>
      <c r="L52" s="19" t="n"/>
      <c r="M52" s="21" t="inlineStr">
        <is>
          <t>Not verified</t>
        </is>
      </c>
      <c r="N52" s="21" t="n"/>
      <c r="O52" s="21" t="n"/>
      <c r="P52" s="21" t="n"/>
      <c r="Q52" s="21" t="n"/>
      <c r="R52" s="28" t="inlineStr">
        <is>
          <t>https://www.ugc.gov.in/pdfnews/7771545_academic-integrity-Regulation2018.pdf</t>
        </is>
      </c>
      <c r="S52" s="21" t="inlineStr">
        <is>
          <t>Yes</t>
        </is>
      </c>
      <c r="T52" s="21" t="inlineStr">
        <is>
          <t>Downloaded</t>
        </is>
      </c>
      <c r="U52" s="20" t="inlineStr">
        <is>
          <t>https://drive.google.com/drive/folders/14IuvtQDAEPeddjnKBm6qR83OP-k1odET?usp=drive_link</t>
        </is>
      </c>
      <c r="V52" s="21" t="n"/>
      <c r="W52" s="21" t="n"/>
      <c r="X52" s="21" t="n"/>
      <c r="Y52" s="21" t="inlineStr">
        <is>
          <t>No</t>
        </is>
      </c>
      <c r="Z52" s="21" t="n">
        <v>12</v>
      </c>
      <c r="AA52" s="21" t="inlineStr">
        <is>
          <t>web_page</t>
        </is>
      </c>
      <c r="AB52" s="21" t="n"/>
      <c r="AC52" s="19" t="n"/>
      <c r="AD52" s="21" t="inlineStr">
        <is>
          <t>Research task: identify the official sources.</t>
        </is>
      </c>
      <c r="AE52" s="21" t="n"/>
      <c r="AF52" s="21">
        <f>IF($H52="","",IF($T52="To find","Not started",IF(($C52="")+($D52="")+($E52="")+($G52="")+($I52="")+($M52="")+($O52="")+($S52="")&gt;0,"Missing basic details",IF(AND($T52="Downloaded",($R52="")+($U52="")+($V52="")+(($W52="")*(RIGHT(LOWER($U52),4)=".pdf"))&gt;0),"Add file details",IF(AND($T52="Downloaded",LEN($X52)&lt;&gt;64),"Check SHA-256",IF(AND($Q52="",$R52=""),"Add a URL",IF($S52="No","Not official - replace",IF($M52="Not verified","Verify status","OK"))))))))</f>
        <v/>
      </c>
      <c r="AG52" s="21" t="inlineStr">
        <is>
          <t>Needs fix</t>
        </is>
      </c>
      <c r="AH52" s="21" t="inlineStr">
        <is>
          <t>Auto-QA 12-Oct-2026</t>
        </is>
      </c>
      <c r="AI52" s="21" t="inlineStr">
        <is>
          <t>1) Link is the UGC academic-integrity regulation, which is already row UGC-005 - use a different source or merge. | 2) Title is still the template placeholder - replace with the exact official title, one row per document (add rows for the others). | 3) Drive link is a FOLDER - link the exact file (drive.google.com/file/d/...). | 4) Downloaded but missing: File Size (KB), SHA-256 Checksum, Version / Edition, Issued On. | 5) Set Current Status from the document (Current / Superseded ...). | 6) Fill "Applies To".</t>
        </is>
      </c>
    </row>
    <row r="53" ht="14.25" customHeight="1" s="35">
      <c r="A53" s="21" t="inlineStr">
        <is>
          <t>S-049</t>
        </is>
      </c>
      <c r="B53" s="21" t="inlineStr">
        <is>
          <t>Intern B</t>
        </is>
      </c>
      <c r="C53" s="21" t="inlineStr">
        <is>
          <t>3. Technical, Polytechnic &amp; ITI</t>
        </is>
      </c>
      <c r="D53" s="21" t="inlineStr">
        <is>
          <t>AICTE</t>
        </is>
      </c>
      <c r="E53" s="21" t="inlineStr">
        <is>
          <t>regulatory</t>
        </is>
      </c>
      <c r="F53" s="21" t="inlineStr">
        <is>
          <t>Mandatory</t>
        </is>
      </c>
      <c r="G53" s="21" t="inlineStr">
        <is>
          <t xml:space="preserve"> </t>
        </is>
      </c>
      <c r="H53" s="21" t="inlineStr">
        <is>
          <t>AICTE Approval Process Handbook 2024-2027</t>
        </is>
      </c>
      <c r="I53" s="21" t="inlineStr">
        <is>
          <t>Handbook</t>
        </is>
      </c>
      <c r="J53" s="21" t="n"/>
      <c r="K53" s="19" t="n"/>
      <c r="L53" s="19" t="n"/>
      <c r="M53" s="21" t="inlineStr">
        <is>
          <t>Not verified</t>
        </is>
      </c>
      <c r="N53" s="21" t="n"/>
      <c r="O53" s="21" t="inlineStr">
        <is>
          <t>Technical institutions</t>
        </is>
      </c>
      <c r="P53" s="21" t="n"/>
      <c r="Q53" s="24" t="inlineStr">
        <is>
          <t>https://aicte.gov.in/approal-process-2024-2027</t>
        </is>
      </c>
      <c r="R53" s="21" t="n"/>
      <c r="S53" s="21" t="inlineStr">
        <is>
          <t>Yes</t>
        </is>
      </c>
      <c r="T53" s="21" t="inlineStr">
        <is>
          <t>Downloaded</t>
        </is>
      </c>
      <c r="U53" s="24" t="inlineStr">
        <is>
          <t>https://drive.google.com/file/d/1Ei3WITWwS6q1YZga7toj13tfc5M2hcIl/view?usp=drive_link</t>
        </is>
      </c>
      <c r="V53" s="21" t="n"/>
      <c r="W53" s="21" t="n"/>
      <c r="X53" s="21" t="n"/>
      <c r="Y53" s="21" t="inlineStr">
        <is>
          <t>No</t>
        </is>
      </c>
      <c r="Z53" s="21" t="n">
        <v>12</v>
      </c>
      <c r="AA53" s="21" t="inlineStr">
        <is>
          <t>web_page</t>
        </is>
      </c>
      <c r="AB53" s="21" t="n"/>
      <c r="AC53" s="19" t="n"/>
      <c r="AD53" s="21" t="inlineStr">
        <is>
          <t>v0.1 auto-download failed (SSL certificate error). Open the official site in a browser and download manually.</t>
        </is>
      </c>
      <c r="AE53" s="14" t="inlineStr">
        <is>
          <t>https://www.aicte-india.org/</t>
        </is>
      </c>
      <c r="AF53" s="21">
        <f>IF($H53="","",IF($T53="To find","Not started",IF(($C53="")+($D53="")+($E53="")+($G53="")+($I53="")+($M53="")+($O53="")+($S53="")&gt;0,"Missing basic details",IF(AND($T53="Downloaded",($R53="")+($U53="")+($V53="")+(($W53="")*(RIGHT(LOWER($U53),4)=".pdf"))&gt;0),"Add file details",IF(AND($T53="Downloaded",LEN($X53)&lt;&gt;64),"Check SHA-256",IF(AND($Q53="",$R53=""),"Add a URL",IF($S53="No","Not official - replace",IF($M53="Not verified","Verify status","OK"))))))))</f>
        <v/>
      </c>
      <c r="AG53" s="21" t="inlineStr">
        <is>
          <t>Needs fix</t>
        </is>
      </c>
      <c r="AH53" s="21" t="inlineStr">
        <is>
          <t>Auto-QA 12-Oct-2026</t>
        </is>
      </c>
      <c r="AI53" s="21" t="inlineStr">
        <is>
          <t>1) Source Code is empty (this row is AICTE-001). | 2) Downloaded but missing: Direct Document URL, File Size (KB), SHA-256 Checksum, Version / Edition, Issued On, Pages. | 3) Set Current Status from the document (Current / Superseded ...).</t>
        </is>
      </c>
    </row>
    <row r="54" ht="14.25" customHeight="1" s="35">
      <c r="A54" s="21" t="inlineStr">
        <is>
          <t>S-050</t>
        </is>
      </c>
      <c r="B54" s="21" t="inlineStr">
        <is>
          <t>Intern B</t>
        </is>
      </c>
      <c r="C54" s="21" t="inlineStr">
        <is>
          <t>3. Technical, Polytechnic &amp; ITI</t>
        </is>
      </c>
      <c r="D54" s="21" t="inlineStr">
        <is>
          <t>AICTE</t>
        </is>
      </c>
      <c r="E54" s="21" t="inlineStr">
        <is>
          <t>regulatory</t>
        </is>
      </c>
      <c r="F54" s="21" t="inlineStr">
        <is>
          <t>Good-practice standard</t>
        </is>
      </c>
      <c r="G54" s="21" t="inlineStr">
        <is>
          <t>AICTE-002</t>
        </is>
      </c>
      <c r="H54" s="21" t="inlineStr">
        <is>
          <t>AICTE model curricula (one row per programme: AI, ML, data science, cyber, robotics, IoT, cloud, XR...)</t>
        </is>
      </c>
      <c r="I54" s="21" t="inlineStr">
        <is>
          <t>Framework</t>
        </is>
      </c>
      <c r="J54" s="21" t="n"/>
      <c r="K54" s="19" t="n"/>
      <c r="L54" s="19" t="n"/>
      <c r="M54" s="21" t="inlineStr">
        <is>
          <t>Not verified</t>
        </is>
      </c>
      <c r="N54" s="21" t="n"/>
      <c r="O54" s="21" t="inlineStr">
        <is>
          <t>Technical programmes</t>
        </is>
      </c>
      <c r="P54" s="21" t="n"/>
      <c r="Q54" s="24" t="inlineStr">
        <is>
          <t>aicte.gov.in/education/model-syllabus</t>
        </is>
      </c>
      <c r="R54" s="24" t="inlineStr">
        <is>
          <t>http://www.aicte-india.org/content/aicte-model-curriculum-courses-ug-level-emerging-areas-0</t>
        </is>
      </c>
      <c r="S54" s="21" t="inlineStr">
        <is>
          <t>Yes</t>
        </is>
      </c>
      <c r="T54" s="21" t="inlineStr">
        <is>
          <t>Downloaded</t>
        </is>
      </c>
      <c r="U54" s="24" t="inlineStr">
        <is>
          <t>https://drive.google.com/file/d/1aytGuTrxCT5FrqD-tvYUpHOaA_8y0OER/view?usp=drive_link</t>
        </is>
      </c>
      <c r="V54" s="21" t="n"/>
      <c r="W54" s="21" t="n"/>
      <c r="X54" s="21" t="n"/>
      <c r="Y54" s="21" t="inlineStr">
        <is>
          <t>No</t>
        </is>
      </c>
      <c r="Z54" s="21" t="n">
        <v>12</v>
      </c>
      <c r="AA54" s="21" t="inlineStr">
        <is>
          <t>document_index</t>
        </is>
      </c>
      <c r="AB54" s="21" t="n"/>
      <c r="AC54" s="19" t="n"/>
      <c r="AD54" s="21" t="n"/>
      <c r="AE54" s="14" t="inlineStr">
        <is>
          <t>https://www.aicte-india.org/education/model-curriculum</t>
        </is>
      </c>
      <c r="AF54" s="21">
        <f>IF($H54="","",IF($T54="To find","Not started",IF(($C54="")+($D54="")+($E54="")+($G54="")+($I54="")+($M54="")+($O54="")+($S54="")&gt;0,"Missing basic details",IF(AND($T54="Downloaded",($R54="")+($U54="")+($V54="")+(($W54="")*(RIGHT(LOWER($U54),4)=".pdf"))&gt;0),"Add file details",IF(AND($T54="Downloaded",LEN($X54)&lt;&gt;64),"Check SHA-256",IF(AND($Q54="",$R54=""),"Add a URL",IF($S54="No","Not official - replace",IF($M54="Not verified","Verify status","OK"))))))))</f>
        <v/>
      </c>
      <c r="AG54" s="21" t="inlineStr">
        <is>
          <t>Needs fix</t>
        </is>
      </c>
      <c r="AH54" s="21" t="inlineStr">
        <is>
          <t>Auto-QA 12-Oct-2026</t>
        </is>
      </c>
      <c r="AI54" s="21" t="inlineStr">
        <is>
          <t>1) Title is still the template placeholder - replace with the exact official title, one row per document (add rows for the others). | 2) Downloaded but missing: File Size (KB), SHA-256 Checksum, Version / Edition, Issued On, Pages. | 3) Set Current Status from the document (Current / Superseded ...).</t>
        </is>
      </c>
    </row>
    <row r="55" ht="14.25" customHeight="1" s="35">
      <c r="A55" s="21" t="inlineStr">
        <is>
          <t>S-051</t>
        </is>
      </c>
      <c r="B55" s="21" t="inlineStr">
        <is>
          <t>Intern B</t>
        </is>
      </c>
      <c r="C55" s="21" t="inlineStr">
        <is>
          <t>3. Technical, Polytechnic &amp; ITI</t>
        </is>
      </c>
      <c r="D55" s="21" t="inlineStr">
        <is>
          <t>AICTE</t>
        </is>
      </c>
      <c r="E55" s="21" t="inlineStr">
        <is>
          <t>regulatory</t>
        </is>
      </c>
      <c r="F55" s="21" t="inlineStr">
        <is>
          <t>Good-practice standard</t>
        </is>
      </c>
      <c r="G55" s="21" t="inlineStr">
        <is>
          <t>AICTE-003</t>
        </is>
      </c>
      <c r="H55" s="21" t="inlineStr">
        <is>
          <t>AICTE internship policy and guidelines</t>
        </is>
      </c>
      <c r="I55" s="21" t="inlineStr">
        <is>
          <t>Guideline</t>
        </is>
      </c>
      <c r="J55" s="21" t="n"/>
      <c r="K55" s="19" t="n"/>
      <c r="L55" s="19" t="n"/>
      <c r="M55" s="21" t="inlineStr">
        <is>
          <t>Not verified</t>
        </is>
      </c>
      <c r="N55" s="21" t="n"/>
      <c r="O55" s="21" t="n"/>
      <c r="P55" s="21" t="n"/>
      <c r="Q55" s="24" t="inlineStr">
        <is>
          <t>https://internship.aicte-india.org/</t>
        </is>
      </c>
      <c r="R55" s="24" t="inlineStr">
        <is>
          <t>https://aicte.gov.in/sites/default/files/AICTE%20Internship%20Policy.pdf</t>
        </is>
      </c>
      <c r="S55" s="21" t="inlineStr">
        <is>
          <t>Yes</t>
        </is>
      </c>
      <c r="T55" s="21" t="inlineStr">
        <is>
          <t>Downloaded</t>
        </is>
      </c>
      <c r="U55" s="24" t="inlineStr">
        <is>
          <t>https://drive.google.com/file/d/1jIjPpuk0dPTWFvMQpTnw2WGoTNx6heeL/view?usp=drive_link</t>
        </is>
      </c>
      <c r="V55" s="21" t="n"/>
      <c r="W55" s="21" t="n"/>
      <c r="X55" s="21" t="n"/>
      <c r="Y55" s="21" t="inlineStr">
        <is>
          <t>No</t>
        </is>
      </c>
      <c r="Z55" s="21" t="n">
        <v>12</v>
      </c>
      <c r="AA55" s="21" t="inlineStr">
        <is>
          <t>web_page</t>
        </is>
      </c>
      <c r="AB55" s="21" t="n"/>
      <c r="AC55" s="19" t="n"/>
      <c r="AD55" s="21" t="n"/>
      <c r="AE55" s="14" t="inlineStr">
        <is>
          <t>https://www.aicte-india.org/</t>
        </is>
      </c>
      <c r="AF55" s="21">
        <f>IF($H55="","",IF($T55="To find","Not started",IF(($C55="")+($D55="")+($E55="")+($G55="")+($I55="")+($M55="")+($O55="")+($S55="")&gt;0,"Missing basic details",IF(AND($T55="Downloaded",($R55="")+($U55="")+($V55="")+(($W55="")*(RIGHT(LOWER($U55),4)=".pdf"))&gt;0),"Add file details",IF(AND($T55="Downloaded",LEN($X55)&lt;&gt;64),"Check SHA-256",IF(AND($Q55="",$R55=""),"Add a URL",IF($S55="No","Not official - replace",IF($M55="Not verified","Verify status","OK"))))))))</f>
        <v/>
      </c>
      <c r="AG55" s="21" t="inlineStr">
        <is>
          <t>Needs fix</t>
        </is>
      </c>
      <c r="AH55" s="21" t="inlineStr">
        <is>
          <t>Auto-QA 12-Oct-2026</t>
        </is>
      </c>
      <c r="AI55" s="21" t="inlineStr">
        <is>
          <t>1) Downloaded but missing: File Size (KB), SHA-256 Checksum, Version / Edition, Issued On, Pages. | 2) Set Current Status from the document (Current / Superseded ...). | 3) Fill "Applies To".</t>
        </is>
      </c>
    </row>
    <row r="56" ht="14.25" customHeight="1" s="35">
      <c r="A56" s="21" t="inlineStr">
        <is>
          <t>S-052</t>
        </is>
      </c>
      <c r="B56" s="21" t="inlineStr">
        <is>
          <t>Intern B</t>
        </is>
      </c>
      <c r="C56" s="21" t="inlineStr">
        <is>
          <t>3. Technical, Polytechnic &amp; ITI</t>
        </is>
      </c>
      <c r="D56" s="21" t="inlineStr">
        <is>
          <t>AICTE</t>
        </is>
      </c>
      <c r="E56" s="21" t="inlineStr">
        <is>
          <t>regulatory</t>
        </is>
      </c>
      <c r="F56" s="21" t="inlineStr">
        <is>
          <t>Good-practice standard</t>
        </is>
      </c>
      <c r="G56" s="21" t="inlineStr">
        <is>
          <t>AICTE-004</t>
        </is>
      </c>
      <c r="H56" s="21" t="inlineStr">
        <is>
          <t>AICTE innovation, startup and incubation policy materials</t>
        </is>
      </c>
      <c r="I56" s="21" t="inlineStr">
        <is>
          <t>Policy</t>
        </is>
      </c>
      <c r="J56" s="21" t="n"/>
      <c r="K56" s="19" t="n"/>
      <c r="L56" s="19" t="n"/>
      <c r="M56" s="21" t="inlineStr">
        <is>
          <t>Not verified</t>
        </is>
      </c>
      <c r="N56" s="21" t="n"/>
      <c r="O56" s="21" t="n"/>
      <c r="P56" s="21" t="n"/>
      <c r="Q56" s="24" t="inlineStr">
        <is>
          <t>https://www.aicte.gov.in/sites/default/files/aicte-odl-online-guidelines-2021.pdf</t>
        </is>
      </c>
      <c r="R56" s="24" t="inlineStr">
        <is>
          <t>https://www.aicte-india.org/sites/default/files/aicte-odl-online-guidelines-2021.pdf.</t>
        </is>
      </c>
      <c r="S56" s="21" t="inlineStr">
        <is>
          <t>Yes</t>
        </is>
      </c>
      <c r="T56" s="21" t="inlineStr">
        <is>
          <t>Downloaded</t>
        </is>
      </c>
      <c r="U56" s="24" t="inlineStr">
        <is>
          <t>https://drive.google.com/file/d/1B39ffsOUuZeDAab_b46Tc80HekXjPbGB/view?usp=drive_link</t>
        </is>
      </c>
      <c r="V56" s="21" t="n"/>
      <c r="W56" s="21" t="n"/>
      <c r="X56" s="21" t="n"/>
      <c r="Y56" s="21" t="inlineStr">
        <is>
          <t>No</t>
        </is>
      </c>
      <c r="Z56" s="21" t="n">
        <v>12</v>
      </c>
      <c r="AA56" s="21" t="inlineStr">
        <is>
          <t>web_page</t>
        </is>
      </c>
      <c r="AB56" s="21" t="n"/>
      <c r="AC56" s="19" t="n"/>
      <c r="AD56" s="21" t="n"/>
      <c r="AE56" s="14" t="inlineStr">
        <is>
          <t>https://www.aicte-india.org/</t>
        </is>
      </c>
      <c r="AF56" s="21">
        <f>IF($H56="","",IF($T56="To find","Not started",IF(($C56="")+($D56="")+($E56="")+($G56="")+($I56="")+($M56="")+($O56="")+($S56="")&gt;0,"Missing basic details",IF(AND($T56="Downloaded",($R56="")+($U56="")+($V56="")+(($W56="")*(RIGHT(LOWER($U56),4)=".pdf"))&gt;0),"Add file details",IF(AND($T56="Downloaded",LEN($X56)&lt;&gt;64),"Check SHA-256",IF(AND($Q56="",$R56=""),"Add a URL",IF($S56="No","Not official - replace",IF($M56="Not verified","Verify status","OK"))))))))</f>
        <v/>
      </c>
      <c r="AG56" s="21" t="inlineStr">
        <is>
          <t>Needs fix</t>
        </is>
      </c>
      <c r="AH56" s="21" t="inlineStr">
        <is>
          <t>Auto-QA 12-Oct-2026</t>
        </is>
      </c>
      <c r="AI56" s="21" t="inlineStr">
        <is>
          <t>1) Link is the AICTE ODL/online guide, not the innovation / startup policy - find the right document. | 2) Downloaded but missing: File Size (KB), SHA-256 Checksum, Version / Edition, Issued On, Pages. | 3) Set Current Status from the document (Current / Superseded ...). | 4) Fill "Applies To".</t>
        </is>
      </c>
    </row>
    <row r="57" ht="14.25" customHeight="1" s="35">
      <c r="A57" s="21" t="inlineStr">
        <is>
          <t>S-053</t>
        </is>
      </c>
      <c r="B57" s="21" t="inlineStr">
        <is>
          <t>Intern B</t>
        </is>
      </c>
      <c r="C57" s="21" t="inlineStr">
        <is>
          <t>3. Technical, Polytechnic &amp; ITI</t>
        </is>
      </c>
      <c r="D57" s="21" t="inlineStr">
        <is>
          <t>AICTE</t>
        </is>
      </c>
      <c r="E57" s="21" t="inlineStr">
        <is>
          <t>regulatory</t>
        </is>
      </c>
      <c r="F57" s="21" t="inlineStr">
        <is>
          <t>Good-practice standard</t>
        </is>
      </c>
      <c r="G57" s="21" t="inlineStr">
        <is>
          <t>AICTE-005</t>
        </is>
      </c>
      <c r="H57" s="21" t="inlineStr">
        <is>
          <t>AICTE digital-learning guidance</t>
        </is>
      </c>
      <c r="I57" s="21" t="inlineStr">
        <is>
          <t>Guideline</t>
        </is>
      </c>
      <c r="J57" s="21" t="n"/>
      <c r="K57" s="19" t="n"/>
      <c r="L57" s="19" t="n"/>
      <c r="M57" s="21" t="inlineStr">
        <is>
          <t>Not verified</t>
        </is>
      </c>
      <c r="N57" s="21" t="n"/>
      <c r="O57" s="21" t="n"/>
      <c r="P57" s="21" t="n"/>
      <c r="Q57" s="24" t="inlineStr">
        <is>
          <t>https://www.aicte.gov.in/bureaus/swayam</t>
        </is>
      </c>
      <c r="R57" s="24" t="inlineStr">
        <is>
          <t>https://www.aicte.gov.in/bureaus/approval/ap_documents</t>
        </is>
      </c>
      <c r="S57" s="21" t="inlineStr">
        <is>
          <t>Yes</t>
        </is>
      </c>
      <c r="T57" s="21" t="inlineStr">
        <is>
          <t>Downloaded</t>
        </is>
      </c>
      <c r="U57" s="24" t="inlineStr">
        <is>
          <t>https://drive.google.com/file/d/1kkvFLw26eUd11sQ9fbfGvLUwb6I7-QiO/view?usp=drive_link</t>
        </is>
      </c>
      <c r="V57" s="21" t="n"/>
      <c r="W57" s="21" t="n"/>
      <c r="X57" s="21" t="n"/>
      <c r="Y57" s="21" t="inlineStr">
        <is>
          <t>No</t>
        </is>
      </c>
      <c r="Z57" s="21" t="n">
        <v>12</v>
      </c>
      <c r="AA57" s="21" t="inlineStr">
        <is>
          <t>web_page</t>
        </is>
      </c>
      <c r="AB57" s="21" t="n"/>
      <c r="AC57" s="19" t="n"/>
      <c r="AD57" s="21" t="n"/>
      <c r="AE57" s="14" t="inlineStr">
        <is>
          <t>https://www.aicte-india.org/</t>
        </is>
      </c>
      <c r="AF57" s="21">
        <f>IF($H57="","",IF($T57="To find","Not started",IF(($C57="")+($D57="")+($E57="")+($G57="")+($I57="")+($M57="")+($O57="")+($S57="")&gt;0,"Missing basic details",IF(AND($T57="Downloaded",($R57="")+($U57="")+($V57="")+(($W57="")*(RIGHT(LOWER($U57),4)=".pdf"))&gt;0),"Add file details",IF(AND($T57="Downloaded",LEN($X57)&lt;&gt;64),"Check SHA-256",IF(AND($Q57="",$R57=""),"Add a URL",IF($S57="No","Not official - replace",IF($M57="Not verified","Verify status","OK"))))))))</f>
        <v/>
      </c>
      <c r="AG57" s="21" t="inlineStr">
        <is>
          <t>Needs fix</t>
        </is>
      </c>
      <c r="AH57" s="21" t="inlineStr">
        <is>
          <t>Auto-QA 12-Oct-2026</t>
        </is>
      </c>
      <c r="AI57" s="21" t="inlineStr">
        <is>
          <t>1) Link is a general AICTE approval-documents page, not a digital-learning guidance document. | 2) Downloaded but missing: File Size (KB), SHA-256 Checksum, Version / Edition, Issued On, Pages. | 3) Set Current Status from the document (Current / Superseded ...). | 4) Fill "Applies To".</t>
        </is>
      </c>
    </row>
    <row r="58" ht="14.25" customHeight="1" s="35">
      <c r="A58" s="21" t="inlineStr">
        <is>
          <t>S-054</t>
        </is>
      </c>
      <c r="B58" s="21" t="inlineStr">
        <is>
          <t>Intern B</t>
        </is>
      </c>
      <c r="C58" s="21" t="inlineStr">
        <is>
          <t>3. Technical, Polytechnic &amp; ITI</t>
        </is>
      </c>
      <c r="D58" s="21" t="inlineStr">
        <is>
          <t>DGT</t>
        </is>
      </c>
      <c r="E58" s="21" t="inlineStr">
        <is>
          <t>regulatory</t>
        </is>
      </c>
      <c r="F58" s="21" t="inlineStr">
        <is>
          <t>Mandatory</t>
        </is>
      </c>
      <c r="G58" s="21" t="inlineStr">
        <is>
          <t>DGT-001</t>
        </is>
      </c>
      <c r="H58" s="21" t="inlineStr">
        <is>
          <t>Affiliation Norms for ITIs 2025</t>
        </is>
      </c>
      <c r="I58" s="21" t="inlineStr">
        <is>
          <t>Handbook</t>
        </is>
      </c>
      <c r="J58" s="21" t="n"/>
      <c r="K58" s="19" t="n"/>
      <c r="L58" s="19" t="n"/>
      <c r="M58" s="21" t="inlineStr">
        <is>
          <t>Not verified</t>
        </is>
      </c>
      <c r="N58" s="21" t="n"/>
      <c r="O58" s="21" t="inlineStr">
        <is>
          <t>ITIs</t>
        </is>
      </c>
      <c r="P58" s="21" t="n"/>
      <c r="Q58" s="14" t="inlineStr">
        <is>
          <t>https://dgt.gov.in/</t>
        </is>
      </c>
      <c r="R58" s="14" t="inlineStr">
        <is>
          <t>https://dgt.gov.in/sites/default/files/2025-12/Circular-for-Affiliation-Norms-for-ITIs-2025_0.pdf</t>
        </is>
      </c>
      <c r="S58" s="21" t="inlineStr">
        <is>
          <t>Yes</t>
        </is>
      </c>
      <c r="T58" s="21" t="inlineStr">
        <is>
          <t>Downloaded</t>
        </is>
      </c>
      <c r="U58" s="24" t="inlineStr">
        <is>
          <t>https://drive.google.com/drive/folders/1VEwxP1Wjc7q6hdG0iZ3h4uMgjrmBpXTY?usp=drive_link</t>
        </is>
      </c>
      <c r="V58" s="21" t="n">
        <v>9456</v>
      </c>
      <c r="W58" s="21" t="n">
        <v>160</v>
      </c>
      <c r="X58" s="21" t="inlineStr">
        <is>
          <t>cd096858ca6dd880eabf31fcde993b4cc79f701823c9c7437d2760e447a79c95</t>
        </is>
      </c>
      <c r="Y58" s="21" t="inlineStr">
        <is>
          <t>No</t>
        </is>
      </c>
      <c r="Z58" s="21" t="n">
        <v>1</v>
      </c>
      <c r="AA58" s="21" t="inlineStr">
        <is>
          <t>document_index</t>
        </is>
      </c>
      <c r="AB58" s="21" t="n"/>
      <c r="AC58" s="19" t="n"/>
      <c r="AD58" s="21" t="inlineStr">
        <is>
          <t>From manager v0.1 pack (manifest DGT-ITI-2025). Verify dates from the circular.</t>
        </is>
      </c>
      <c r="AE58" s="21" t="n"/>
      <c r="AF58" s="21">
        <f>IF($H58="","",IF($T58="To find","Not started",IF(($C58="")+($D58="")+($E58="")+($G58="")+($I58="")+($M58="")+($O58="")+($S58="")&gt;0,"Missing basic details",IF(AND($T58="Downloaded",($R58="")+($U58="")+($V58="")+(($W58="")*(RIGHT(LOWER($U58),4)=".pdf"))&gt;0),"Add file details",IF(AND($T58="Downloaded",LEN($X58)&lt;&gt;64),"Check SHA-256",IF(AND($Q58="",$R58=""),"Add a URL",IF($S58="No","Not official - replace",IF($M58="Not verified","Verify status","OK"))))))))</f>
        <v/>
      </c>
      <c r="AG58" s="21" t="inlineStr">
        <is>
          <t>Needs fix</t>
        </is>
      </c>
      <c r="AH58" s="21" t="inlineStr">
        <is>
          <t>Auto-QA 12-Oct-2026</t>
        </is>
      </c>
      <c r="AI58" s="21" t="inlineStr">
        <is>
          <t>1) Drive link is a FOLDER - link the exact file (drive.google.com/file/d/...). | 2) Downloaded but missing: Version / Edition, Issued On. | 3) Set Current Status from the document (Current / Superseded ...).</t>
        </is>
      </c>
    </row>
    <row r="59" ht="14.25" customHeight="1" s="35">
      <c r="A59" s="21" t="inlineStr">
        <is>
          <t>S-055</t>
        </is>
      </c>
      <c r="B59" s="21" t="inlineStr">
        <is>
          <t>Intern B</t>
        </is>
      </c>
      <c r="C59" s="21" t="inlineStr">
        <is>
          <t>3. Technical, Polytechnic &amp; ITI</t>
        </is>
      </c>
      <c r="D59" s="21" t="inlineStr">
        <is>
          <t>DGT</t>
        </is>
      </c>
      <c r="E59" s="21" t="inlineStr">
        <is>
          <t>regulatory</t>
        </is>
      </c>
      <c r="F59" s="21" t="inlineStr">
        <is>
          <t>Mandatory</t>
        </is>
      </c>
      <c r="G59" s="21" t="inlineStr">
        <is>
          <t>DGT-002</t>
        </is>
      </c>
      <c r="H59" s="21" t="inlineStr">
        <is>
          <t>DGT ITI grading guidelines (register snapshot)</t>
        </is>
      </c>
      <c r="I59" s="21" t="inlineStr">
        <is>
          <t>Register page</t>
        </is>
      </c>
      <c r="J59" s="21" t="n"/>
      <c r="K59" s="19" t="n"/>
      <c r="L59" s="19" t="n"/>
      <c r="M59" s="21" t="inlineStr">
        <is>
          <t>Not verified</t>
        </is>
      </c>
      <c r="N59" s="21" t="n"/>
      <c r="O59" s="21" t="inlineStr">
        <is>
          <t>ITIs</t>
        </is>
      </c>
      <c r="P59" s="21" t="n"/>
      <c r="Q59" s="14" t="inlineStr">
        <is>
          <t>https://dgt.gov.in/en/guidelines-grading</t>
        </is>
      </c>
      <c r="R59" s="14" t="inlineStr">
        <is>
          <t>https://dgt.gov.in/en/guidelines-grading</t>
        </is>
      </c>
      <c r="S59" s="21" t="inlineStr">
        <is>
          <t>Yes</t>
        </is>
      </c>
      <c r="T59" s="21" t="inlineStr">
        <is>
          <t>Downloaded</t>
        </is>
      </c>
      <c r="U59" s="24" t="inlineStr">
        <is>
          <t>https://drive.google.com/drive/folders/1VEwxP1Wjc7q6hdG0iZ3h4uMgjrmBpXTY?usp=drive_link</t>
        </is>
      </c>
      <c r="V59" s="21" t="n">
        <v>58</v>
      </c>
      <c r="W59" s="21" t="n"/>
      <c r="X59" s="21" t="inlineStr">
        <is>
          <t>96af2903fe290af24b62d6408b6b5d6fdfd776f740bac41ff6261a09397ea0a8</t>
        </is>
      </c>
      <c r="Y59" s="21" t="inlineStr">
        <is>
          <t>No</t>
        </is>
      </c>
      <c r="Z59" s="21" t="n">
        <v>12</v>
      </c>
      <c r="AA59" s="21" t="inlineStr">
        <is>
          <t>document_index</t>
        </is>
      </c>
      <c r="AB59" s="21" t="n"/>
      <c r="AC59" s="19" t="n"/>
      <c r="AD59" s="21" t="inlineStr">
        <is>
          <t>Snapshot from manager v0.1 pack.</t>
        </is>
      </c>
      <c r="AE59" s="21" t="n"/>
      <c r="AF59" s="21">
        <f>IF($H59="","",IF($T59="To find","Not started",IF(($C59="")+($D59="")+($E59="")+($G59="")+($I59="")+($M59="")+($O59="")+($S59="")&gt;0,"Missing basic details",IF(AND($T59="Downloaded",($R59="")+($U59="")+($V59="")+(($W59="")*(RIGHT(LOWER($U59),4)=".pdf"))&gt;0),"Add file details",IF(AND($T59="Downloaded",LEN($X59)&lt;&gt;64),"Check SHA-256",IF(AND($Q59="",$R59=""),"Add a URL",IF($S59="No","Not official - replace",IF($M59="Not verified","Verify status","OK"))))))))</f>
        <v/>
      </c>
      <c r="AG59" s="21" t="inlineStr">
        <is>
          <t>Needs fix</t>
        </is>
      </c>
      <c r="AH59" s="21" t="inlineStr">
        <is>
          <t>Auto-QA 12-Oct-2026</t>
        </is>
      </c>
      <c r="AI59" s="21" t="inlineStr">
        <is>
          <t>1) Drive link is a FOLDER - link the exact file (drive.google.com/file/d/...). | 2) Downloaded but missing: Version / Edition, Issued On. | 3) Set Current Status from the document (Current / Superseded ...).</t>
        </is>
      </c>
    </row>
    <row r="60" ht="14.25" customHeight="1" s="35">
      <c r="A60" s="21" t="inlineStr">
        <is>
          <t>S-056</t>
        </is>
      </c>
      <c r="B60" s="21" t="inlineStr">
        <is>
          <t>Intern B</t>
        </is>
      </c>
      <c r="C60" s="21" t="inlineStr">
        <is>
          <t>3. Technical, Polytechnic &amp; ITI</t>
        </is>
      </c>
      <c r="D60" s="21" t="inlineStr">
        <is>
          <t>DGT</t>
        </is>
      </c>
      <c r="E60" s="21" t="inlineStr">
        <is>
          <t>regulatory</t>
        </is>
      </c>
      <c r="F60" s="21" t="inlineStr">
        <is>
          <t>Mandatory</t>
        </is>
      </c>
      <c r="G60" s="21" t="inlineStr">
        <is>
          <t>DGT-003</t>
        </is>
      </c>
      <c r="H60" s="21" t="inlineStr">
        <is>
          <t>DGT trade-wise norms and syllabi</t>
        </is>
      </c>
      <c r="I60" s="21" t="inlineStr">
        <is>
          <t>Framework</t>
        </is>
      </c>
      <c r="J60" s="21" t="n"/>
      <c r="K60" s="19" t="n"/>
      <c r="L60" s="19" t="n"/>
      <c r="M60" s="21" t="inlineStr">
        <is>
          <t>Not verified</t>
        </is>
      </c>
      <c r="N60" s="21" t="n"/>
      <c r="O60" s="21" t="inlineStr">
        <is>
          <t>ITIs</t>
        </is>
      </c>
      <c r="P60" s="21" t="n"/>
      <c r="Q60" s="24" t="inlineStr">
        <is>
          <t>https://dgt.gov.in/</t>
        </is>
      </c>
      <c r="R60" s="24" t="inlineStr">
        <is>
          <t>https://dgt.gov.in/sites/default/files/2024-01/IT_CTS2.0_NSQF-4.pdf</t>
        </is>
      </c>
      <c r="S60" s="21" t="inlineStr">
        <is>
          <t>Yes</t>
        </is>
      </c>
      <c r="T60" s="21" t="inlineStr">
        <is>
          <t>Downloaded</t>
        </is>
      </c>
      <c r="U60" s="24" t="inlineStr">
        <is>
          <t>https://drive.google.com/drive/folders/1VEwxP1Wjc7q6hdG0iZ3h4uMgjrmBpXTY?usp=drive_link</t>
        </is>
      </c>
      <c r="V60" s="21" t="n"/>
      <c r="W60" s="21" t="n"/>
      <c r="X60" s="21" t="n"/>
      <c r="Y60" s="21" t="inlineStr">
        <is>
          <t>No</t>
        </is>
      </c>
      <c r="Z60" s="21" t="n">
        <v>3</v>
      </c>
      <c r="AA60" s="21" t="inlineStr">
        <is>
          <t>document_index</t>
        </is>
      </c>
      <c r="AB60" s="21" t="n"/>
      <c r="AC60" s="19" t="n"/>
      <c r="AD60" s="21" t="inlineStr">
        <is>
          <t>One row per trade group, not every trade.</t>
        </is>
      </c>
      <c r="AE60" s="14" t="inlineStr">
        <is>
          <t>https://dgt.gov.in/</t>
        </is>
      </c>
      <c r="AF60" s="21">
        <f>IF($H60="","",IF($T60="To find","Not started",IF(($C60="")+($D60="")+($E60="")+($G60="")+($I60="")+($M60="")+($O60="")+($S60="")&gt;0,"Missing basic details",IF(AND($T60="Downloaded",($R60="")+($U60="")+($V60="")+(($W60="")*(RIGHT(LOWER($U60),4)=".pdf"))&gt;0),"Add file details",IF(AND($T60="Downloaded",LEN($X60)&lt;&gt;64),"Check SHA-256",IF(AND($Q60="",$R60=""),"Add a URL",IF($S60="No","Not official - replace",IF($M60="Not verified","Verify status","OK"))))))))</f>
        <v/>
      </c>
      <c r="AG60" s="21" t="inlineStr">
        <is>
          <t>Needs fix</t>
        </is>
      </c>
      <c r="AH60" s="21" t="inlineStr">
        <is>
          <t>Auto-QA 12-Oct-2026</t>
        </is>
      </c>
      <c r="AI60" s="21" t="inlineStr">
        <is>
          <t>1) Drive link is a FOLDER - link the exact file (drive.google.com/file/d/...). | 2) Downloaded but missing: File Size (KB), SHA-256 Checksum, Version / Edition, Issued On. | 3) Set Current Status from the document (Current / Superseded ...).</t>
        </is>
      </c>
    </row>
    <row r="61" ht="14.25" customHeight="1" s="35">
      <c r="A61" s="21" t="inlineStr">
        <is>
          <t>S-057</t>
        </is>
      </c>
      <c r="B61" s="21" t="inlineStr">
        <is>
          <t>Intern B</t>
        </is>
      </c>
      <c r="C61" s="21" t="inlineStr">
        <is>
          <t>3. Technical, Polytechnic &amp; ITI</t>
        </is>
      </c>
      <c r="D61" s="21" t="inlineStr">
        <is>
          <t>DGT</t>
        </is>
      </c>
      <c r="E61" s="21" t="inlineStr">
        <is>
          <t>regulatory</t>
        </is>
      </c>
      <c r="F61" s="21" t="inlineStr">
        <is>
          <t>Mandatory</t>
        </is>
      </c>
      <c r="G61" s="21" t="inlineStr">
        <is>
          <t>DGT-004</t>
        </is>
      </c>
      <c r="H61" s="21" t="inlineStr">
        <is>
          <t>DGT inspection requirements, affiliation notices and portal instructions</t>
        </is>
      </c>
      <c r="I61" s="21" t="inlineStr">
        <is>
          <t>Notification / Circular</t>
        </is>
      </c>
      <c r="J61" s="21" t="n"/>
      <c r="K61" s="19" t="n"/>
      <c r="L61" s="19" t="n"/>
      <c r="M61" s="21" t="inlineStr">
        <is>
          <t>Not verified</t>
        </is>
      </c>
      <c r="N61" s="21" t="n"/>
      <c r="O61" s="21" t="inlineStr">
        <is>
          <t>ITIs</t>
        </is>
      </c>
      <c r="P61" s="21" t="n"/>
      <c r="Q61" s="24" t="inlineStr">
        <is>
          <t>https://ncvtmis.gov.in/</t>
        </is>
      </c>
      <c r="R61" s="24" t="inlineStr">
        <is>
          <t>https://www.dgt.gov.in/sites/default/files/2025-12/Circular-for-Affiliation-Norms-for-ITIs-2025.pdf</t>
        </is>
      </c>
      <c r="S61" s="21" t="inlineStr">
        <is>
          <t>Yes</t>
        </is>
      </c>
      <c r="T61" s="21" t="inlineStr">
        <is>
          <t>Downloaded</t>
        </is>
      </c>
      <c r="U61" s="24" t="inlineStr">
        <is>
          <t>https://drive.google.com/drive/folders/1VEwxP1Wjc7q6hdG0iZ3h4uMgjrmBpXTY?usp=drive_link</t>
        </is>
      </c>
      <c r="V61" s="21" t="n"/>
      <c r="W61" s="21" t="n"/>
      <c r="X61" s="21" t="n"/>
      <c r="Y61" s="21" t="inlineStr">
        <is>
          <t>No</t>
        </is>
      </c>
      <c r="Z61" s="21" t="n">
        <v>1</v>
      </c>
      <c r="AA61" s="21" t="inlineStr">
        <is>
          <t>document_index</t>
        </is>
      </c>
      <c r="AB61" s="21" t="n"/>
      <c r="AC61" s="19" t="n"/>
      <c r="AD61" s="21" t="n"/>
      <c r="AE61" s="14" t="inlineStr">
        <is>
          <t>https://dgt.gov.in/</t>
        </is>
      </c>
      <c r="AF61" s="21">
        <f>IF($H61="","",IF($T61="To find","Not started",IF(($C61="")+($D61="")+($E61="")+($G61="")+($I61="")+($M61="")+($O61="")+($S61="")&gt;0,"Missing basic details",IF(AND($T61="Downloaded",($R61="")+($U61="")+($V61="")+(($W61="")*(RIGHT(LOWER($U61),4)=".pdf"))&gt;0),"Add file details",IF(AND($T61="Downloaded",LEN($X61)&lt;&gt;64),"Check SHA-256",IF(AND($Q61="",$R61=""),"Add a URL",IF($S61="No","Not official - replace",IF($M61="Not verified","Verify status","OK"))))))))</f>
        <v/>
      </c>
      <c r="AG61" s="21" t="inlineStr">
        <is>
          <t>Needs fix</t>
        </is>
      </c>
      <c r="AH61" s="21" t="inlineStr">
        <is>
          <t>Auto-QA 12-Oct-2026</t>
        </is>
      </c>
      <c r="AI61" s="21" t="inlineStr">
        <is>
          <t>1) Drive link is a FOLDER - link the exact file (drive.google.com/file/d/...). | 2) Downloaded but missing: File Size (KB), SHA-256 Checksum, Version / Edition, Issued On. | 3) Set Current Status from the document (Current / Superseded ...).</t>
        </is>
      </c>
    </row>
    <row r="62" ht="14.25" customHeight="1" s="35">
      <c r="A62" s="21" t="inlineStr">
        <is>
          <t>S-058</t>
        </is>
      </c>
      <c r="B62" s="21" t="inlineStr">
        <is>
          <t>Intern B</t>
        </is>
      </c>
      <c r="C62" s="21" t="inlineStr">
        <is>
          <t>3. Technical, Polytechnic &amp; ITI</t>
        </is>
      </c>
      <c r="D62" s="21" t="inlineStr">
        <is>
          <t>NCVET</t>
        </is>
      </c>
      <c r="E62" s="21" t="inlineStr">
        <is>
          <t>regulatory</t>
        </is>
      </c>
      <c r="F62" s="21" t="inlineStr">
        <is>
          <t>Mandatory</t>
        </is>
      </c>
      <c r="G62" s="21" t="inlineStr">
        <is>
          <t>NCVET-001</t>
        </is>
      </c>
      <c r="H62" s="21" t="inlineStr">
        <is>
          <t>NCVET regulations and guidelines (awarding bodies, assessment, certification)</t>
        </is>
      </c>
      <c r="I62" s="21" t="inlineStr">
        <is>
          <t>Regulation</t>
        </is>
      </c>
      <c r="J62" s="21" t="n"/>
      <c r="K62" s="19" t="n"/>
      <c r="L62" s="19" t="n"/>
      <c r="M62" s="21" t="inlineStr">
        <is>
          <t>Not verified</t>
        </is>
      </c>
      <c r="N62" s="21" t="n"/>
      <c r="O62" s="21" t="inlineStr">
        <is>
          <t>ITI / skills institutions</t>
        </is>
      </c>
      <c r="P62" s="21" t="n"/>
      <c r="Q62" s="20" t="inlineStr">
        <is>
          <t>https://ncvet.gov.in/wp-content/uploads/2025/07/Guidelines-for-Recognition-and-Regulation-of-AAs-2025.pdf</t>
        </is>
      </c>
      <c r="R62" s="24" t="inlineStr">
        <is>
          <t>https://ncvet.gov.in/wp-content/uploads/2023/07/National-Skills-Qualification-Framework-notification-June-2023.pdf..</t>
        </is>
      </c>
      <c r="S62" s="21" t="inlineStr">
        <is>
          <t>Yes</t>
        </is>
      </c>
      <c r="T62" s="21" t="inlineStr">
        <is>
          <t>Downloaded</t>
        </is>
      </c>
      <c r="U62" s="24" t="inlineStr">
        <is>
          <t>https://drive.google.com/drive/folders/12HBkMz14W3yPBq90ruXu2XekeaKSYeQc?usp=drive_link</t>
        </is>
      </c>
      <c r="V62" s="21" t="n"/>
      <c r="W62" s="21" t="n"/>
      <c r="X62" s="21" t="n"/>
      <c r="Y62" s="21" t="inlineStr">
        <is>
          <t>No</t>
        </is>
      </c>
      <c r="Z62" s="21" t="n">
        <v>3</v>
      </c>
      <c r="AA62" s="21" t="inlineStr">
        <is>
          <t>web_page</t>
        </is>
      </c>
      <c r="AB62" s="21" t="n"/>
      <c r="AC62" s="19" t="n"/>
      <c r="AD62" s="21" t="n"/>
      <c r="AE62" s="14" t="inlineStr">
        <is>
          <t>https://ncvet.gov.in/</t>
        </is>
      </c>
      <c r="AF62" s="21">
        <f>IF($H62="","",IF($T62="To find","Not started",IF(($C62="")+($D62="")+($E62="")+($G62="")+($I62="")+($M62="")+($O62="")+($S62="")&gt;0,"Missing basic details",IF(AND($T62="Downloaded",($R62="")+($U62="")+($V62="")+(($W62="")*(RIGHT(LOWER($U62),4)=".pdf"))&gt;0),"Add file details",IF(AND($T62="Downloaded",LEN($X62)&lt;&gt;64),"Check SHA-256",IF(AND($Q62="",$R62=""),"Add a URL",IF($S62="No","Not official - replace",IF($M62="Not verified","Verify status","OK"))))))))</f>
        <v/>
      </c>
      <c r="AG62" s="21" t="inlineStr">
        <is>
          <t>Needs fix</t>
        </is>
      </c>
      <c r="AH62" s="21" t="inlineStr">
        <is>
          <t>Auto-QA 12-Oct-2026</t>
        </is>
      </c>
      <c r="AI62" s="21" t="inlineStr">
        <is>
          <t>1) Drive link is a FOLDER - link the exact file (drive.google.com/file/d/...). | 2) Downloaded but missing: File Size (KB), SHA-256 Checksum, Version / Edition, Issued On. | 3) Set Current Status from the document (Current / Superseded ...).</t>
        </is>
      </c>
    </row>
    <row r="63" ht="14.25" customHeight="1" s="35">
      <c r="A63" s="21" t="inlineStr">
        <is>
          <t>S-059</t>
        </is>
      </c>
      <c r="B63" s="21" t="inlineStr">
        <is>
          <t>Intern B</t>
        </is>
      </c>
      <c r="C63" s="21" t="inlineStr">
        <is>
          <t>3. Technical, Polytechnic &amp; ITI</t>
        </is>
      </c>
      <c r="D63" s="21" t="inlineStr">
        <is>
          <t>NCVET</t>
        </is>
      </c>
      <c r="E63" s="21" t="inlineStr">
        <is>
          <t>regulatory</t>
        </is>
      </c>
      <c r="F63" s="21" t="inlineStr">
        <is>
          <t>Authoritative quality framework</t>
        </is>
      </c>
      <c r="G63" s="21" t="inlineStr">
        <is>
          <t>NCVET-002</t>
        </is>
      </c>
      <c r="H63" s="21" t="inlineStr">
        <is>
          <t>National Skills Qualification Framework (NSQF) notification and qualification files</t>
        </is>
      </c>
      <c r="I63" s="21" t="inlineStr">
        <is>
          <t>Framework</t>
        </is>
      </c>
      <c r="J63" s="21" t="n"/>
      <c r="K63" s="19" t="n"/>
      <c r="L63" s="19" t="n"/>
      <c r="M63" s="21" t="inlineStr">
        <is>
          <t>Not verified</t>
        </is>
      </c>
      <c r="N63" s="21" t="n"/>
      <c r="O63" s="21" t="n"/>
      <c r="P63" s="21" t="n"/>
      <c r="Q63" s="24" t="inlineStr">
        <is>
          <t>ncvet.gov.in</t>
        </is>
      </c>
      <c r="R63" s="24" t="inlineStr">
        <is>
          <t>https://ncvet.gov.in/wp-content/uploads/2023/07/National-Skills-Qualification-Framework-notification-June-2023.pdf.</t>
        </is>
      </c>
      <c r="S63" s="21" t="inlineStr">
        <is>
          <t>Yes</t>
        </is>
      </c>
      <c r="T63" s="21" t="inlineStr">
        <is>
          <t>Downloaded</t>
        </is>
      </c>
      <c r="U63" s="24" t="inlineStr">
        <is>
          <t>https://drive.google.com/drive/folders/12HBkMz14W3yPBq90ruXu2XekeaKSYeQc?usp=drive_link</t>
        </is>
      </c>
      <c r="V63" s="21" t="n"/>
      <c r="W63" s="21" t="n"/>
      <c r="X63" s="21" t="n"/>
      <c r="Y63" s="21" t="inlineStr">
        <is>
          <t>No</t>
        </is>
      </c>
      <c r="Z63" s="21" t="n">
        <v>12</v>
      </c>
      <c r="AA63" s="21" t="inlineStr">
        <is>
          <t>web_page</t>
        </is>
      </c>
      <c r="AB63" s="21" t="n"/>
      <c r="AC63" s="19" t="n"/>
      <c r="AD63" s="21" t="n"/>
      <c r="AE63" s="14" t="inlineStr">
        <is>
          <t>https://ncvet.gov.in/</t>
        </is>
      </c>
      <c r="AF63" s="21">
        <f>IF($H63="","",IF($T63="To find","Not started",IF(($C63="")+($D63="")+($E63="")+($G63="")+($I63="")+($M63="")+($O63="")+($S63="")&gt;0,"Missing basic details",IF(AND($T63="Downloaded",($R63="")+($U63="")+($V63="")+(($W63="")*(RIGHT(LOWER($U63),4)=".pdf"))&gt;0),"Add file details",IF(AND($T63="Downloaded",LEN($X63)&lt;&gt;64),"Check SHA-256",IF(AND($Q63="",$R63=""),"Add a URL",IF($S63="No","Not official - replace",IF($M63="Not verified","Verify status","OK"))))))))</f>
        <v/>
      </c>
      <c r="AG63" s="21" t="inlineStr">
        <is>
          <t>Needs fix</t>
        </is>
      </c>
      <c r="AH63" s="21" t="inlineStr">
        <is>
          <t>Auto-QA 12-Oct-2026</t>
        </is>
      </c>
      <c r="AI63" s="21" t="inlineStr">
        <is>
          <t>1) Drive link is a FOLDER - link the exact file (drive.google.com/file/d/...). | 2) Downloaded but missing: File Size (KB), SHA-256 Checksum, Version / Edition, Issued On. | 3) Set Current Status from the document (Current / Superseded ...). | 4) Fill "Applies To".</t>
        </is>
      </c>
    </row>
    <row r="64" ht="14.25" customHeight="1" s="35">
      <c r="A64" s="21" t="inlineStr">
        <is>
          <t>S-060</t>
        </is>
      </c>
      <c r="B64" s="21" t="inlineStr">
        <is>
          <t>Intern B</t>
        </is>
      </c>
      <c r="C64" s="21" t="inlineStr">
        <is>
          <t>3. Technical, Polytechnic &amp; ITI</t>
        </is>
      </c>
      <c r="D64" s="21" t="inlineStr">
        <is>
          <t>Ministry of Education</t>
        </is>
      </c>
      <c r="E64" s="21" t="inlineStr">
        <is>
          <t>government_policy</t>
        </is>
      </c>
      <c r="F64" s="21" t="inlineStr">
        <is>
          <t>Authoritative quality framework</t>
        </is>
      </c>
      <c r="G64" s="21" t="inlineStr">
        <is>
          <t>NCrF-001</t>
        </is>
      </c>
      <c r="H64" s="21" t="inlineStr">
        <is>
          <t>National Credit Framework (NCrF)</t>
        </is>
      </c>
      <c r="I64" s="21" t="inlineStr">
        <is>
          <t>Framework</t>
        </is>
      </c>
      <c r="J64" s="21" t="n"/>
      <c r="K64" s="19" t="n"/>
      <c r="L64" s="19" t="n"/>
      <c r="M64" s="21" t="inlineStr">
        <is>
          <t>Not verified</t>
        </is>
      </c>
      <c r="N64" s="21" t="n"/>
      <c r="O64" s="21" t="inlineStr">
        <is>
          <t>Education and skills institutions</t>
        </is>
      </c>
      <c r="P64" s="21" t="n"/>
      <c r="Q64" s="24" t="inlineStr">
        <is>
          <t>https://dsel.education.gov.in/hi/node/2174</t>
        </is>
      </c>
      <c r="R64" s="24" t="inlineStr">
        <is>
          <t>https://www.ugc.gov.in/pdfnews/9028476_Report-of-National-Credit-Framework.pdf</t>
        </is>
      </c>
      <c r="S64" s="21" t="inlineStr">
        <is>
          <t>Yes</t>
        </is>
      </c>
      <c r="T64" s="21" t="inlineStr">
        <is>
          <t>Downloaded</t>
        </is>
      </c>
      <c r="U64" s="20" t="inlineStr">
        <is>
          <t>https://drive.google.com/file/d/1PxkJpe9Pr4He2rjHhPyBCGinMubnAkZu/view?usp=drive_link</t>
        </is>
      </c>
      <c r="V64" s="21" t="n"/>
      <c r="W64" s="21" t="n"/>
      <c r="X64" s="21" t="n"/>
      <c r="Y64" s="21" t="inlineStr">
        <is>
          <t>No</t>
        </is>
      </c>
      <c r="Z64" s="21" t="n">
        <v>12</v>
      </c>
      <c r="AA64" s="21" t="inlineStr">
        <is>
          <t>web_page</t>
        </is>
      </c>
      <c r="AB64" s="21" t="n"/>
      <c r="AC64" s="19" t="n"/>
      <c r="AD64" s="21" t="inlineStr">
        <is>
          <t>v0.1 auto-download failed (404 - old link moved). Open the official site in a browser and download manually.</t>
        </is>
      </c>
      <c r="AE64" s="14" t="inlineStr">
        <is>
          <t>https://www.education.gov.in/</t>
        </is>
      </c>
      <c r="AF64" s="21">
        <f>IF($H64="","",IF($T64="To find","Not started",IF(($C64="")+($D64="")+($E64="")+($G64="")+($I64="")+($M64="")+($O64="")+($S64="")&gt;0,"Missing basic details",IF(AND($T64="Downloaded",($R64="")+($U64="")+($V64="")+(($W64="")*(RIGHT(LOWER($U64),4)=".pdf"))&gt;0),"Add file details",IF(AND($T64="Downloaded",LEN($X64)&lt;&gt;64),"Check SHA-256",IF(AND($Q64="",$R64=""),"Add a URL",IF($S64="No","Not official - replace",IF($M64="Not verified","Verify status","OK"))))))))</f>
        <v/>
      </c>
      <c r="AG64" s="21" t="inlineStr">
        <is>
          <t>Needs fix</t>
        </is>
      </c>
      <c r="AH64" s="21" t="inlineStr">
        <is>
          <t>Auto-QA 12-Oct-2026</t>
        </is>
      </c>
      <c r="AI64" s="21" t="inlineStr">
        <is>
          <t>1) Downloaded but missing: File Size (KB), SHA-256 Checksum, Version / Edition, Issued On, Pages. | 2) Set Current Status from the document (Current / Superseded ...).</t>
        </is>
      </c>
    </row>
    <row r="65" ht="14.25" customHeight="1" s="35">
      <c r="A65" s="21" t="inlineStr">
        <is>
          <t>S-061</t>
        </is>
      </c>
      <c r="B65" s="21" t="inlineStr">
        <is>
          <t>Intern B</t>
        </is>
      </c>
      <c r="C65" s="21" t="inlineStr">
        <is>
          <t>3. Technical, Polytechnic &amp; ITI</t>
        </is>
      </c>
      <c r="D65" s="21" t="inlineStr">
        <is>
          <t>Academic Bank of Credits</t>
        </is>
      </c>
      <c r="E65" s="21" t="inlineStr">
        <is>
          <t>regulatory</t>
        </is>
      </c>
      <c r="F65" s="21" t="inlineStr">
        <is>
          <t>Mandatory</t>
        </is>
      </c>
      <c r="G65" s="21" t="inlineStr">
        <is>
          <t>NAD-001</t>
        </is>
      </c>
      <c r="H65" s="21" t="inlineStr">
        <is>
          <t>Academic Bank of Credits regulations and guidance</t>
        </is>
      </c>
      <c r="I65" s="21" t="inlineStr">
        <is>
          <t>Regulation</t>
        </is>
      </c>
      <c r="J65" s="21" t="n"/>
      <c r="K65" s="19" t="n"/>
      <c r="L65" s="19" t="n"/>
      <c r="M65" s="21" t="inlineStr">
        <is>
          <t>Not verified</t>
        </is>
      </c>
      <c r="N65" s="21" t="n"/>
      <c r="O65" s="21" t="inlineStr">
        <is>
          <t>Eligible HEIs</t>
        </is>
      </c>
      <c r="P65" s="21" t="n"/>
      <c r="Q65" s="24" t="inlineStr">
        <is>
          <t>https://www.ugc.gov.in/pdfnews/9327451_Academic-Bank-of-Credicts-in-Higher-Education.pdf</t>
        </is>
      </c>
      <c r="R65" s="24" t="inlineStr">
        <is>
          <t>https://www.ugc.ac.in/pdfnews/1767992_Notice-Academic-Bank-of-Credits.pdf.</t>
        </is>
      </c>
      <c r="S65" s="21" t="inlineStr">
        <is>
          <t>Yes</t>
        </is>
      </c>
      <c r="T65" s="21" t="inlineStr">
        <is>
          <t>Downloaded</t>
        </is>
      </c>
      <c r="U65" s="20" t="inlineStr">
        <is>
          <t>https://drive.google.com/drive/folders/1nqxPG1mthj13ImYXo-i-pIt2mTNq4EKv?usp=drive_link</t>
        </is>
      </c>
      <c r="V65" s="21" t="n"/>
      <c r="W65" s="21" t="n"/>
      <c r="X65" s="21" t="n"/>
      <c r="Y65" s="21" t="inlineStr">
        <is>
          <t>No</t>
        </is>
      </c>
      <c r="Z65" s="21" t="n">
        <v>3</v>
      </c>
      <c r="AA65" s="21" t="inlineStr">
        <is>
          <t>web_page</t>
        </is>
      </c>
      <c r="AB65" s="21" t="n"/>
      <c r="AC65" s="19" t="n"/>
      <c r="AD65" s="21" t="n"/>
      <c r="AE65" s="14" t="inlineStr">
        <is>
          <t>https://www.abc.gov.in/</t>
        </is>
      </c>
      <c r="AF65" s="21">
        <f>IF($H65="","",IF($T65="To find","Not started",IF(($C65="")+($D65="")+($E65="")+($G65="")+($I65="")+($M65="")+($O65="")+($S65="")&gt;0,"Missing basic details",IF(AND($T65="Downloaded",($R65="")+($U65="")+($V65="")+(($W65="")*(RIGHT(LOWER($U65),4)=".pdf"))&gt;0),"Add file details",IF(AND($T65="Downloaded",LEN($X65)&lt;&gt;64),"Check SHA-256",IF(AND($Q65="",$R65=""),"Add a URL",IF($S65="No","Not official - replace",IF($M65="Not verified","Verify status","OK"))))))))</f>
        <v/>
      </c>
      <c r="AG65" s="21" t="inlineStr">
        <is>
          <t>Needs fix</t>
        </is>
      </c>
      <c r="AH65" s="21" t="inlineStr">
        <is>
          <t>Auto-QA 12-Oct-2026</t>
        </is>
      </c>
      <c r="AI65" s="21" t="inlineStr">
        <is>
          <t>1) Drive link is a FOLDER - link the exact file (drive.google.com/file/d/...). | 2) Downloaded but missing: File Size (KB), SHA-256 Checksum, Version / Edition, Issued On. | 3) Set Current Status from the document (Current / Superseded ...).</t>
        </is>
      </c>
    </row>
    <row r="66" ht="14.25" customHeight="1" s="35">
      <c r="A66" s="21" t="inlineStr">
        <is>
          <t>S-062</t>
        </is>
      </c>
      <c r="B66" s="21" t="inlineStr">
        <is>
          <t>Intern B</t>
        </is>
      </c>
      <c r="C66" s="21" t="inlineStr">
        <is>
          <t>3. Technical, Polytechnic &amp; ITI</t>
        </is>
      </c>
      <c r="D66" s="21" t="inlineStr">
        <is>
          <t>Other (write in notes)</t>
        </is>
      </c>
      <c r="E66" s="21" t="inlineStr">
        <is>
          <t>government_policy</t>
        </is>
      </c>
      <c r="F66" s="21" t="inlineStr">
        <is>
          <t>Good-practice standard</t>
        </is>
      </c>
      <c r="G66" s="21" t="inlineStr">
        <is>
          <t>APP-001</t>
        </is>
      </c>
      <c r="H66" s="21" t="inlineStr">
        <is>
          <t>Apprenticeship guidance (NAPS / NATS)</t>
        </is>
      </c>
      <c r="I66" s="21" t="inlineStr">
        <is>
          <t>Guideline</t>
        </is>
      </c>
      <c r="J66" s="21" t="n"/>
      <c r="K66" s="19" t="n"/>
      <c r="L66" s="19" t="n"/>
      <c r="M66" s="21" t="inlineStr">
        <is>
          <t>Not verified</t>
        </is>
      </c>
      <c r="N66" s="21" t="n"/>
      <c r="O66" s="21" t="n"/>
      <c r="P66" s="21" t="n"/>
      <c r="Q66" s="24" t="inlineStr">
        <is>
          <t>https://www.msde.gov.in/static/uploads/2024/04/Guidelines-for-NAPS.pdf</t>
        </is>
      </c>
      <c r="R66" s="24" t="inlineStr">
        <is>
          <t>https://naps-cdn.s3.ap-south-1.amazonaws.com/NAPS+2.0_Guidelines_25-08-2023.pdf</t>
        </is>
      </c>
      <c r="S66" s="21" t="inlineStr">
        <is>
          <t>Yes</t>
        </is>
      </c>
      <c r="T66" s="21" t="inlineStr">
        <is>
          <t>Downloaded</t>
        </is>
      </c>
      <c r="U66" s="20" t="inlineStr">
        <is>
          <t>https://drive.google.com/drive/folders/1nqxPG1mthj13ImYXo-i-pIt2mTNq4EKv?usp=drive_link</t>
        </is>
      </c>
      <c r="V66" s="21" t="n"/>
      <c r="W66" s="21" t="n"/>
      <c r="X66" s="21" t="n"/>
      <c r="Y66" s="21" t="inlineStr">
        <is>
          <t>No</t>
        </is>
      </c>
      <c r="Z66" s="21" t="n">
        <v>12</v>
      </c>
      <c r="AA66" s="21" t="inlineStr">
        <is>
          <t>web_page</t>
        </is>
      </c>
      <c r="AB66" s="21" t="n"/>
      <c r="AC66" s="19" t="n"/>
      <c r="AD66" s="21" t="inlineStr">
        <is>
          <t>Identify the official scheme portals.</t>
        </is>
      </c>
      <c r="AE66" s="21" t="n"/>
      <c r="AF66" s="21">
        <f>IF($H66="","",IF($T66="To find","Not started",IF(($C66="")+($D66="")+($E66="")+($G66="")+($I66="")+($M66="")+($O66="")+($S66="")&gt;0,"Missing basic details",IF(AND($T66="Downloaded",($R66="")+($U66="")+($V66="")+(($W66="")*(RIGHT(LOWER($U66),4)=".pdf"))&gt;0),"Add file details",IF(AND($T66="Downloaded",LEN($X66)&lt;&gt;64),"Check SHA-256",IF(AND($Q66="",$R66=""),"Add a URL",IF($S66="No","Not official - replace",IF($M66="Not verified","Verify status","OK"))))))))</f>
        <v/>
      </c>
      <c r="AG66" s="21" t="inlineStr">
        <is>
          <t>Needs fix</t>
        </is>
      </c>
      <c r="AH66" s="21" t="inlineStr">
        <is>
          <t>Auto-QA 12-Oct-2026</t>
        </is>
      </c>
      <c r="AI66" s="21" t="inlineStr">
        <is>
          <t>1) Direct Document URL is on naps-cdn.s3.ap-south-1.amazonaws.com, not the official site - replace with the authority's own link (copies on college or third-party sites are not accepted). | 2) Drive link is a FOLDER - link the exact file (drive.google.com/file/d/...). | 3) Downloaded but missing: File Size (KB), SHA-256 Checksum, Version / Edition, Issued On. | 4) Set Current Status from the document (Current / Superseded ...). | 5) Fill "Applies To".</t>
        </is>
      </c>
    </row>
    <row r="67" ht="14.25" customHeight="1" s="35">
      <c r="A67" s="29" t="inlineStr">
        <is>
          <t>S-063</t>
        </is>
      </c>
      <c r="B67" s="29" t="inlineStr">
        <is>
          <t>Intern B</t>
        </is>
      </c>
      <c r="C67" s="29" t="inlineStr">
        <is>
          <t>5. Data, Technology &amp; Cybersecurity</t>
        </is>
      </c>
      <c r="D67" s="29" t="inlineStr">
        <is>
          <t>MeitY</t>
        </is>
      </c>
      <c r="E67" s="29" t="inlineStr">
        <is>
          <t>regulatory</t>
        </is>
      </c>
      <c r="F67" s="29" t="inlineStr">
        <is>
          <t>Mandatory</t>
        </is>
      </c>
      <c r="G67" s="29" t="inlineStr">
        <is>
          <t>DATA-001</t>
        </is>
      </c>
      <c r="H67" s="29" t="inlineStr">
        <is>
          <t>The Digital Personal Data Protection Act, 2023 (No. 22 of 2023)</t>
        </is>
      </c>
      <c r="I67" s="29" t="inlineStr">
        <is>
          <t>Act / Law</t>
        </is>
      </c>
      <c r="J67" s="29" t="inlineStr">
        <is>
          <t>Act No. 22 of 2023</t>
        </is>
      </c>
      <c r="K67" s="30" t="n">
        <v>45149</v>
      </c>
      <c r="L67" s="30" t="n"/>
      <c r="M67" s="29" t="inlineStr">
        <is>
          <t>Current</t>
        </is>
      </c>
      <c r="N67" s="29" t="n"/>
      <c r="O67" s="29" t="inlineStr">
        <is>
          <t>Any institution processing digital personal data</t>
        </is>
      </c>
      <c r="P67" s="29" t="n"/>
      <c r="Q67" s="31" t="inlineStr">
        <is>
          <t>https://indiacode.gov.in/pdf-viewer/fcd3b406-8eae-4130-950f-b94cfb11d2d0/b0c7c48e-e7c4-41b6-909a-f1b03048bcc5</t>
        </is>
      </c>
      <c r="R67" s="31" t="inlineStr">
        <is>
          <t>https://indiacode.gov.in/server/api/core/bitstreams/b0c7c48e-e7c4-41b6-909a-f1b03048bcc5/content</t>
        </is>
      </c>
      <c r="S67" s="29" t="inlineStr">
        <is>
          <t>Yes</t>
        </is>
      </c>
      <c r="T67" s="29" t="inlineStr">
        <is>
          <t>Downloaded</t>
        </is>
      </c>
      <c r="U67" s="32" t="inlineStr">
        <is>
          <t>https://drive.google.com/file/d/1ZUkFMo0SfO9_RIf5LXE56N34JC2Fzkfk/view?usp=drive_link</t>
        </is>
      </c>
      <c r="V67" s="29" t="n">
        <v>178</v>
      </c>
      <c r="W67" s="29" t="n">
        <v>21</v>
      </c>
      <c r="X67" s="29" t="inlineStr">
        <is>
          <t>4deb23981d3010c8225a2ff6149e7243dc2268455b299e283afebdd7b72a7d15</t>
        </is>
      </c>
      <c r="Y67" s="29" t="inlineStr">
        <is>
          <t>No</t>
        </is>
      </c>
      <c r="Z67" s="29" t="n">
        <v>1</v>
      </c>
      <c r="AA67" s="29" t="inlineStr">
        <is>
          <t>web_page</t>
        </is>
      </c>
      <c r="AB67" s="29" t="n"/>
      <c r="AC67" s="30" t="n">
        <v>46296</v>
      </c>
      <c r="AD67" s="29" t="inlineStr">
        <is>
          <t>EXAMPLE ROW. Act dated 11 Aug 2023 (page 1). Commences in phases by notification, so Effective From is left blank and explained here - see DATA-002.</t>
        </is>
      </c>
      <c r="AE67" s="29" t="n"/>
      <c r="AF67" s="29">
        <f>IF($H67="","",IF($T67="To find","Not started",IF(($C67="")+($D67="")+($E67="")+($G67="")+($I67="")+($M67="")+($O67="")+($S67="")&gt;0,"Missing basic details",IF(AND($T67="Downloaded",($R67="")+($U67="")+($V67="")+(($W67="")*(RIGHT(LOWER($U67),4)=".pdf"))&gt;0),"Add file details",IF(AND($T67="Downloaded",LEN($X67)&lt;&gt;64),"Check SHA-256",IF(AND($Q67="",$R67=""),"Add a URL",IF($S67="No","Not official - replace",IF($M67="Not verified","Verify status","OK"))))))))</f>
        <v/>
      </c>
      <c r="AG67" s="29" t="inlineStr">
        <is>
          <t>Verified</t>
        </is>
      </c>
      <c r="AH67" s="29" t="inlineStr">
        <is>
          <t>Example</t>
        </is>
      </c>
      <c r="AI67" s="29" t="n"/>
    </row>
    <row r="68" ht="14.25" customHeight="1" s="35">
      <c r="A68" s="21" t="inlineStr">
        <is>
          <t>S-064</t>
        </is>
      </c>
      <c r="B68" s="21" t="inlineStr">
        <is>
          <t>Intern B</t>
        </is>
      </c>
      <c r="C68" s="21" t="inlineStr">
        <is>
          <t>5. Data, Technology &amp; Cybersecurity</t>
        </is>
      </c>
      <c r="D68" s="21" t="inlineStr">
        <is>
          <t>MeitY</t>
        </is>
      </c>
      <c r="E68" s="21" t="inlineStr">
        <is>
          <t>regulatory</t>
        </is>
      </c>
      <c r="F68" s="21" t="inlineStr">
        <is>
          <t>Mandatory</t>
        </is>
      </c>
      <c r="G68" s="21" t="inlineStr">
        <is>
          <t>DATA-002</t>
        </is>
      </c>
      <c r="H68" s="21" t="inlineStr">
        <is>
          <t>Digital Personal Data Protection Rules, 2025</t>
        </is>
      </c>
      <c r="I68" s="21" t="inlineStr">
        <is>
          <t>Rules</t>
        </is>
      </c>
      <c r="J68" s="21" t="n"/>
      <c r="K68" s="19" t="n"/>
      <c r="L68" s="19" t="n"/>
      <c r="M68" s="21" t="inlineStr">
        <is>
          <t>Not verified</t>
        </is>
      </c>
      <c r="N68" s="21" t="n"/>
      <c r="O68" s="21" t="inlineStr">
        <is>
          <t>Any institution processing digital personal data</t>
        </is>
      </c>
      <c r="P68" s="21" t="n"/>
      <c r="Q68" s="14" t="inlineStr">
        <is>
          <t>https://www.meity.gov.in/documents/act-and-policies/digital-personal-data-protection-rules-2025-gDOxUjMtQWa?pageTitle=Digital-Personal-Data-Protection-Rules-2025</t>
        </is>
      </c>
      <c r="R68" s="14" t="inlineStr">
        <is>
          <t>https://www.meity.gov.in/static/uploads/2025/11/53450e6e5dc0bfa85ebd78686cadad39.pdf</t>
        </is>
      </c>
      <c r="S68" s="21" t="inlineStr">
        <is>
          <t>Yes</t>
        </is>
      </c>
      <c r="T68" s="21" t="inlineStr">
        <is>
          <t>Downloaded</t>
        </is>
      </c>
      <c r="U68" s="24" t="inlineStr">
        <is>
          <t>https://drive.google.com/file/d/18GdmjQVBQMcfnLYsdOaFAyd4XZann990/view?usp=drive_link</t>
        </is>
      </c>
      <c r="V68" s="21" t="n">
        <v>2435</v>
      </c>
      <c r="W68" s="21" t="n">
        <v>41</v>
      </c>
      <c r="X68" s="21" t="inlineStr">
        <is>
          <t>eabc7d05e013144615d78ddc0e8b9c9aac1920e814f4fad38ce6560951f5aa08</t>
        </is>
      </c>
      <c r="Y68" s="21" t="inlineStr">
        <is>
          <t>No</t>
        </is>
      </c>
      <c r="Z68" s="21" t="n">
        <v>1</v>
      </c>
      <c r="AA68" s="21" t="inlineStr">
        <is>
          <t>web_page</t>
        </is>
      </c>
      <c r="AB68" s="21" t="n"/>
      <c r="AC68" s="19" t="n"/>
      <c r="AD68" s="21" t="inlineStr">
        <is>
          <t>From manager v0.1 pack. Record the phased commencement dates in notes.</t>
        </is>
      </c>
      <c r="AE68" s="21" t="n"/>
      <c r="AF68" s="21">
        <f>IF($H68="","",IF($T68="To find","Not started",IF(($C68="")+($D68="")+($E68="")+($G68="")+($I68="")+($M68="")+($O68="")+($S68="")&gt;0,"Missing basic details",IF(AND($T68="Downloaded",($R68="")+($U68="")+($V68="")+(($W68="")*(RIGHT(LOWER($U68),4)=".pdf"))&gt;0),"Add file details",IF(AND($T68="Downloaded",LEN($X68)&lt;&gt;64),"Check SHA-256",IF(AND($Q68="",$R68=""),"Add a URL",IF($S68="No","Not official - replace",IF($M68="Not verified","Verify status","OK"))))))))</f>
        <v/>
      </c>
      <c r="AG68" s="21" t="inlineStr">
        <is>
          <t>Needs fix</t>
        </is>
      </c>
      <c r="AH68" s="21" t="inlineStr">
        <is>
          <t>Auto-QA 12-Oct-2026</t>
        </is>
      </c>
      <c r="AI68" s="21" t="inlineStr">
        <is>
          <t>1) Downloaded but missing: Version / Edition, Issued On. | 2) Set Current Status from the document (Current / Superseded ...).</t>
        </is>
      </c>
    </row>
    <row r="69" ht="14.25" customHeight="1" s="35">
      <c r="A69" s="21" t="inlineStr">
        <is>
          <t>S-065</t>
        </is>
      </c>
      <c r="B69" s="21" t="inlineStr">
        <is>
          <t>Intern B</t>
        </is>
      </c>
      <c r="C69" s="21" t="inlineStr">
        <is>
          <t>5. Data, Technology &amp; Cybersecurity</t>
        </is>
      </c>
      <c r="D69" s="21" t="inlineStr">
        <is>
          <t>CERT-In</t>
        </is>
      </c>
      <c r="E69" s="21" t="inlineStr">
        <is>
          <t>regulatory</t>
        </is>
      </c>
      <c r="F69" s="21" t="inlineStr">
        <is>
          <t>Mandatory</t>
        </is>
      </c>
      <c r="G69" s="21" t="inlineStr">
        <is>
          <t>CYBER-001</t>
        </is>
      </c>
      <c r="H69" s="21" t="inlineStr">
        <is>
          <t>CERT-In Directions under section 70B (28.04.2022)</t>
        </is>
      </c>
      <c r="I69" s="21" t="inlineStr">
        <is>
          <t>Direction</t>
        </is>
      </c>
      <c r="J69" s="21" t="n"/>
      <c r="K69" s="19" t="n"/>
      <c r="L69" s="19" t="n"/>
      <c r="M69" s="21" t="inlineStr">
        <is>
          <t>Not verified</t>
        </is>
      </c>
      <c r="N69" s="21" t="n"/>
      <c r="O69" s="21" t="inlineStr">
        <is>
          <t>Covered entities</t>
        </is>
      </c>
      <c r="P69" s="21" t="n"/>
      <c r="Q69" s="14" t="inlineStr">
        <is>
          <t>https://www.cert-in.org.in/Directions70B.jsp</t>
        </is>
      </c>
      <c r="R69" s="14" t="inlineStr">
        <is>
          <t>https://www.cert-in.org.in/PDF/CERT-In_Directions_70B_28.04.2022.pdf</t>
        </is>
      </c>
      <c r="S69" s="21" t="inlineStr">
        <is>
          <t>Yes</t>
        </is>
      </c>
      <c r="T69" s="21" t="inlineStr">
        <is>
          <t>Downloaded</t>
        </is>
      </c>
      <c r="U69" s="24" t="inlineStr">
        <is>
          <t>https://drive.google.com/file/d/1bs-UisINM2JedRwQC2dOKYB0i6-YG-o0/view?usp=drive_link</t>
        </is>
      </c>
      <c r="V69" s="21" t="n">
        <v>425</v>
      </c>
      <c r="W69" s="21" t="n">
        <v>8</v>
      </c>
      <c r="X69" s="21" t="inlineStr">
        <is>
          <t>202c2f3953d792dcfb3ecb3634fc82ab75437ee596de89b8d59a211e8e42431f</t>
        </is>
      </c>
      <c r="Y69" s="21" t="inlineStr">
        <is>
          <t>No</t>
        </is>
      </c>
      <c r="Z69" s="21" t="n">
        <v>1</v>
      </c>
      <c r="AA69" s="21" t="inlineStr">
        <is>
          <t>web_page</t>
        </is>
      </c>
      <c r="AB69" s="21" t="n"/>
      <c r="AC69" s="19" t="n"/>
      <c r="AD69" s="21" t="inlineStr">
        <is>
          <t>From manager v0.1 pack. Also look for the official FAQs on these directions (separate row).</t>
        </is>
      </c>
      <c r="AE69" s="21" t="n"/>
      <c r="AF69" s="21">
        <f>IF($H69="","",IF($T69="To find","Not started",IF(($C69="")+($D69="")+($E69="")+($G69="")+($I69="")+($M69="")+($O69="")+($S69="")&gt;0,"Missing basic details",IF(AND($T69="Downloaded",($R69="")+($U69="")+($V69="")+(($W69="")*(RIGHT(LOWER($U69),4)=".pdf"))&gt;0),"Add file details",IF(AND($T69="Downloaded",LEN($X69)&lt;&gt;64),"Check SHA-256",IF(AND($Q69="",$R69=""),"Add a URL",IF($S69="No","Not official - replace",IF($M69="Not verified","Verify status","OK"))))))))</f>
        <v/>
      </c>
      <c r="AG69" s="21" t="inlineStr">
        <is>
          <t>Needs fix</t>
        </is>
      </c>
      <c r="AH69" s="21" t="inlineStr">
        <is>
          <t>Auto-QA 12-Oct-2026</t>
        </is>
      </c>
      <c r="AI69" s="21" t="inlineStr">
        <is>
          <t>1) Downloaded but missing: Version / Edition, Issued On. | 2) Set Current Status from the document (Current / Superseded ...).</t>
        </is>
      </c>
    </row>
    <row r="70" ht="14.25" customHeight="1" s="35">
      <c r="A70" s="21" t="inlineStr">
        <is>
          <t>S-066</t>
        </is>
      </c>
      <c r="B70" s="21" t="inlineStr">
        <is>
          <t>Intern B</t>
        </is>
      </c>
      <c r="C70" s="21" t="inlineStr">
        <is>
          <t>5. Data, Technology &amp; Cybersecurity</t>
        </is>
      </c>
      <c r="D70" s="21" t="inlineStr">
        <is>
          <t>CERT-In</t>
        </is>
      </c>
      <c r="E70" s="21" t="inlineStr">
        <is>
          <t>regulatory</t>
        </is>
      </c>
      <c r="F70" s="21" t="inlineStr">
        <is>
          <t>Good-practice standard</t>
        </is>
      </c>
      <c r="G70" s="21" t="inlineStr">
        <is>
          <t>CYBER-002</t>
        </is>
      </c>
      <c r="H70" s="21" t="inlineStr">
        <is>
          <t>CERT-In cybersecurity advisories and AI / API security guidance</t>
        </is>
      </c>
      <c r="I70" s="21" t="inlineStr">
        <is>
          <t>Guideline</t>
        </is>
      </c>
      <c r="J70" s="21" t="n"/>
      <c r="K70" s="19" t="n"/>
      <c r="L70" s="19" t="n"/>
      <c r="M70" s="21" t="inlineStr">
        <is>
          <t>Not verified</t>
        </is>
      </c>
      <c r="N70" s="21" t="n"/>
      <c r="O70" s="21" t="n"/>
      <c r="P70" s="21" t="n"/>
      <c r="Q70" s="21" t="n"/>
      <c r="R70" s="21" t="n"/>
      <c r="S70" s="21" t="n"/>
      <c r="T70" s="21" t="inlineStr">
        <is>
          <t>Downloaded</t>
        </is>
      </c>
      <c r="U70" s="24" t="inlineStr">
        <is>
          <t xml:space="preserve"> https://drive.google.com/drive/folders/1ao8GOFB3Ut-eWjgK-QtW9vSMehgahohw?usp=drive_link</t>
        </is>
      </c>
      <c r="V70" s="21" t="n"/>
      <c r="W70" s="21" t="n"/>
      <c r="X70" s="21" t="n"/>
      <c r="Y70" s="21" t="inlineStr">
        <is>
          <t>No</t>
        </is>
      </c>
      <c r="Z70" s="21" t="n">
        <v>1</v>
      </c>
      <c r="AA70" s="21" t="inlineStr">
        <is>
          <t>web_page</t>
        </is>
      </c>
      <c r="AB70" s="21" t="n"/>
      <c r="AC70" s="19" t="n"/>
      <c r="AD70" s="21" t="inlineStr">
        <is>
          <t>Intelligence feed: one row for the advisories page, plus rows only for guidance documents.</t>
        </is>
      </c>
      <c r="AE70" s="14" t="inlineStr">
        <is>
          <t>https://www.cert-in.org.in/</t>
        </is>
      </c>
      <c r="AF70" s="21">
        <f>IF($H70="","",IF($T70="To find","Not started",IF(($C70="")+($D70="")+($E70="")+($G70="")+($I70="")+($M70="")+($O70="")+($S70="")&gt;0,"Missing basic details",IF(AND($T70="Downloaded",($R70="")+($U70="")+($V70="")+(($W70="")*(RIGHT(LOWER($U70),4)=".pdf"))&gt;0),"Add file details",IF(AND($T70="Downloaded",LEN($X70)&lt;&gt;64),"Check SHA-256",IF(AND($Q70="",$R70=""),"Add a URL",IF($S70="No","Not official - replace",IF($M70="Not verified","Verify status","OK"))))))))</f>
        <v/>
      </c>
      <c r="AG70" s="21" t="inlineStr">
        <is>
          <t>Needs fix</t>
        </is>
      </c>
      <c r="AH70" s="21" t="inlineStr">
        <is>
          <t>Auto-QA 12-Oct-2026</t>
        </is>
      </c>
      <c r="AI70" s="21" t="inlineStr">
        <is>
          <t>1) Drive link is a FOLDER - link the exact file (drive.google.com/file/d/...). | 2) Downloaded but missing: Direct Document URL, File Size (KB), SHA-256 Checksum, Version / Edition, Issued On. | 3) Set Current Status from the document (Current / Superseded ...). | 4) Fill "Applies To".</t>
        </is>
      </c>
    </row>
    <row r="71" ht="14.25" customHeight="1" s="35">
      <c r="A71" s="21" t="inlineStr">
        <is>
          <t>S-067</t>
        </is>
      </c>
      <c r="B71" s="21" t="inlineStr">
        <is>
          <t>Intern B</t>
        </is>
      </c>
      <c r="C71" s="21" t="inlineStr">
        <is>
          <t>5. Data, Technology &amp; Cybersecurity</t>
        </is>
      </c>
      <c r="D71" s="21" t="inlineStr">
        <is>
          <t>Parliament of India</t>
        </is>
      </c>
      <c r="E71" s="21" t="inlineStr">
        <is>
          <t>regulatory</t>
        </is>
      </c>
      <c r="F71" s="21" t="inlineStr">
        <is>
          <t>Mandatory</t>
        </is>
      </c>
      <c r="G71" s="21" t="inlineStr">
        <is>
          <t>LAW-003</t>
        </is>
      </c>
      <c r="H71" s="21" t="inlineStr">
        <is>
          <t>Information Technology Act, 2000 (as amended)</t>
        </is>
      </c>
      <c r="I71" s="21" t="inlineStr">
        <is>
          <t>Act / Law</t>
        </is>
      </c>
      <c r="J71" s="21" t="n"/>
      <c r="K71" s="19" t="n"/>
      <c r="L71" s="19" t="n"/>
      <c r="M71" s="21" t="inlineStr">
        <is>
          <t>Not verified</t>
        </is>
      </c>
      <c r="N71" s="21" t="n"/>
      <c r="O71" s="21" t="n"/>
      <c r="P71" s="21" t="n"/>
      <c r="Q71" s="24" t="inlineStr">
        <is>
          <t>https://www.indiacode.nic.in/handle/123456789/13683.</t>
        </is>
      </c>
      <c r="R71" s="24" t="inlineStr">
        <is>
          <t>https://www.indiacode.nic.in/handle/123456789/13683.</t>
        </is>
      </c>
      <c r="S71" s="21" t="inlineStr">
        <is>
          <t>Yes</t>
        </is>
      </c>
      <c r="T71" s="21" t="inlineStr">
        <is>
          <t>Downloaded</t>
        </is>
      </c>
      <c r="U71" s="20" t="inlineStr">
        <is>
          <t>https://drive.google.com/drive/folders/1qh0Smf7rTkLe1WIp34b_p4HbCqyUCgir?usp=drive_link</t>
        </is>
      </c>
      <c r="V71" s="21" t="n"/>
      <c r="W71" s="21" t="n"/>
      <c r="X71" s="21" t="n"/>
      <c r="Y71" s="21" t="inlineStr">
        <is>
          <t>No</t>
        </is>
      </c>
      <c r="Z71" s="21" t="n">
        <v>12</v>
      </c>
      <c r="AA71" s="21" t="inlineStr">
        <is>
          <t>web_page</t>
        </is>
      </c>
      <c r="AB71" s="21" t="n"/>
      <c r="AC71" s="19" t="n"/>
      <c r="AD71" s="21" t="inlineStr">
        <is>
          <t>Use the official India Code (indiacode.nic.in) copy only.</t>
        </is>
      </c>
      <c r="AE71" s="21" t="n"/>
      <c r="AF71" s="21">
        <f>IF($H71="","",IF($T71="To find","Not started",IF(($C71="")+($D71="")+($E71="")+($G71="")+($I71="")+($M71="")+($O71="")+($S71="")&gt;0,"Missing basic details",IF(AND($T71="Downloaded",($R71="")+($U71="")+($V71="")+(($W71="")*(RIGHT(LOWER($U71),4)=".pdf"))&gt;0),"Add file details",IF(AND($T71="Downloaded",LEN($X71)&lt;&gt;64),"Check SHA-256",IF(AND($Q71="",$R71=""),"Add a URL",IF($S71="No","Not official - replace",IF($M71="Not verified","Verify status","OK"))))))))</f>
        <v/>
      </c>
      <c r="AG71" s="21" t="inlineStr">
        <is>
          <t>Needs fix</t>
        </is>
      </c>
      <c r="AH71" s="21" t="inlineStr">
        <is>
          <t>Auto-QA 12-Oct-2026</t>
        </is>
      </c>
      <c r="AI71" s="21" t="inlineStr">
        <is>
          <t>1) Drive link is a FOLDER - link the exact file (drive.google.com/file/d/...). | 2) Downloaded but missing: File Size (KB), SHA-256 Checksum, Version / Edition, Issued On. | 3) Set Current Status from the document (Current / Superseded ...). | 4) Fill "Applies To".</t>
        </is>
      </c>
    </row>
    <row r="72" ht="14.25" customHeight="1" s="35">
      <c r="A72" s="21" t="inlineStr">
        <is>
          <t>S-068</t>
        </is>
      </c>
      <c r="B72" s="21" t="inlineStr">
        <is>
          <t>Intern B</t>
        </is>
      </c>
      <c r="C72" s="21" t="inlineStr">
        <is>
          <t>5. Data, Technology &amp; Cybersecurity</t>
        </is>
      </c>
      <c r="D72" s="21" t="inlineStr">
        <is>
          <t>MeitY</t>
        </is>
      </c>
      <c r="E72" s="21" t="inlineStr">
        <is>
          <t>government_policy</t>
        </is>
      </c>
      <c r="F72" s="21" t="inlineStr">
        <is>
          <t>Good-practice standard</t>
        </is>
      </c>
      <c r="G72" s="21" t="inlineStr">
        <is>
          <t>DIG-001</t>
        </is>
      </c>
      <c r="H72" s="21" t="inlineStr">
        <is>
          <t>Government digital-governance, cloud, identity, records and interoperability guidance</t>
        </is>
      </c>
      <c r="I72" s="21" t="inlineStr">
        <is>
          <t>Guideline</t>
        </is>
      </c>
      <c r="J72" s="21" t="n"/>
      <c r="K72" s="19" t="n"/>
      <c r="L72" s="19" t="n"/>
      <c r="M72" s="21" t="inlineStr">
        <is>
          <t>Not verified</t>
        </is>
      </c>
      <c r="N72" s="21" t="n"/>
      <c r="O72" s="21" t="n"/>
      <c r="P72" s="21" t="n"/>
      <c r="Q72" s="24" t="inlineStr">
        <is>
          <t>https://www.meity.gov.in/static/uploads/2024/03/Policy-Document.pdf</t>
        </is>
      </c>
      <c r="R72" s="24" t="inlineStr">
        <is>
          <t>https://www.meity.gov.in/static/uploads/2024/03/Policy-Document.pdf</t>
        </is>
      </c>
      <c r="S72" s="21" t="inlineStr">
        <is>
          <t>Yes</t>
        </is>
      </c>
      <c r="T72" s="21" t="inlineStr">
        <is>
          <t>Downloaded</t>
        </is>
      </c>
      <c r="U72" s="20" t="inlineStr">
        <is>
          <t>https://drive.google.com/drive/folders/13b7YJ0039A9yb3grKv4IQaGO0n0J5jC7?usp=drive_link</t>
        </is>
      </c>
      <c r="V72" s="21" t="n"/>
      <c r="W72" s="21" t="n"/>
      <c r="X72" s="21" t="n"/>
      <c r="Y72" s="21" t="inlineStr">
        <is>
          <t>No</t>
        </is>
      </c>
      <c r="Z72" s="21" t="n">
        <v>12</v>
      </c>
      <c r="AA72" s="21" t="inlineStr">
        <is>
          <t>web_page</t>
        </is>
      </c>
      <c r="AB72" s="21" t="n"/>
      <c r="AC72" s="19" t="n"/>
      <c r="AD72" s="21" t="inlineStr">
        <is>
          <t>Research task: one row per official document.</t>
        </is>
      </c>
      <c r="AE72" s="14" t="inlineStr">
        <is>
          <t>https://www.meity.gov.in/</t>
        </is>
      </c>
      <c r="AF72" s="21">
        <f>IF($H72="","",IF($T72="To find","Not started",IF(($C72="")+($D72="")+($E72="")+($G72="")+($I72="")+($M72="")+($O72="")+($S72="")&gt;0,"Missing basic details",IF(AND($T72="Downloaded",($R72="")+($U72="")+($V72="")+(($W72="")*(RIGHT(LOWER($U72),4)=".pdf"))&gt;0),"Add file details",IF(AND($T72="Downloaded",LEN($X72)&lt;&gt;64),"Check SHA-256",IF(AND($Q72="",$R72=""),"Add a URL",IF($S72="No","Not official - replace",IF($M72="Not verified","Verify status","OK"))))))))</f>
        <v/>
      </c>
      <c r="AG72" s="21" t="inlineStr">
        <is>
          <t>Needs fix</t>
        </is>
      </c>
      <c r="AH72" s="21" t="inlineStr">
        <is>
          <t>Auto-QA 12-Oct-2026</t>
        </is>
      </c>
      <c r="AI72" s="21" t="inlineStr">
        <is>
          <t>1) Drive link is a FOLDER - link the exact file (drive.google.com/file/d/...). | 2) Downloaded but missing: File Size (KB), SHA-256 Checksum, Version / Edition, Issued On. | 3) Set Current Status from the document (Current / Superseded ...). | 4) Fill "Applies To".</t>
        </is>
      </c>
    </row>
    <row r="73" ht="14.25" customHeight="1" s="35">
      <c r="A73" s="21" t="inlineStr">
        <is>
          <t>S-069</t>
        </is>
      </c>
      <c r="B73" s="21" t="inlineStr">
        <is>
          <t>Intern B</t>
        </is>
      </c>
      <c r="C73" s="21" t="inlineStr">
        <is>
          <t>6. AI Readiness &amp; Responsible AI</t>
        </is>
      </c>
      <c r="D73" s="21" t="inlineStr">
        <is>
          <t>UNESCO</t>
        </is>
      </c>
      <c r="E73" s="21" t="inlineStr">
        <is>
          <t>standards_body</t>
        </is>
      </c>
      <c r="F73" s="21" t="inlineStr">
        <is>
          <t>Good-practice standard</t>
        </is>
      </c>
      <c r="G73" s="21" t="inlineStr">
        <is>
          <t>AI-001</t>
        </is>
      </c>
      <c r="H73" s="21" t="inlineStr">
        <is>
          <t>UNESCO Guidance for Generative AI in Education and Research</t>
        </is>
      </c>
      <c r="I73" s="21" t="inlineStr">
        <is>
          <t>Guideline</t>
        </is>
      </c>
      <c r="J73" s="21" t="n"/>
      <c r="K73" s="19" t="n"/>
      <c r="L73" s="19" t="n"/>
      <c r="M73" s="21" t="inlineStr">
        <is>
          <t>Not verified</t>
        </is>
      </c>
      <c r="N73" s="21" t="n"/>
      <c r="O73" s="21" t="inlineStr">
        <is>
          <t>Education institutions</t>
        </is>
      </c>
      <c r="P73" s="21" t="n"/>
      <c r="Q73" s="24" t="inlineStr">
        <is>
          <t>https://www.unesco.org/en/articles/unesco-governments-must-quickly-regulate-generative-ai-schools?hub=701</t>
        </is>
      </c>
      <c r="R73" s="24" t="inlineStr">
        <is>
          <t>https://www.unesco.org/en/articles/unesco-governments-must-quickly-regulate-generative-ai-schools?hub=701</t>
        </is>
      </c>
      <c r="S73" s="21" t="inlineStr">
        <is>
          <t>Yes</t>
        </is>
      </c>
      <c r="T73" s="21" t="inlineStr">
        <is>
          <t>Downloaded</t>
        </is>
      </c>
      <c r="U73" s="20" t="inlineStr">
        <is>
          <t>https://drive.google.com/file/d/1UXCEPezfN0_1EjxTwopvq_GbRaflXXX6/view?usp=drive_link</t>
        </is>
      </c>
      <c r="V73" s="21" t="n"/>
      <c r="W73" s="21" t="n"/>
      <c r="X73" s="21" t="n"/>
      <c r="Y73" s="21" t="inlineStr">
        <is>
          <t>No</t>
        </is>
      </c>
      <c r="Z73" s="21" t="n">
        <v>3</v>
      </c>
      <c r="AA73" s="21" t="inlineStr">
        <is>
          <t>web_page</t>
        </is>
      </c>
      <c r="AB73" s="21" t="n"/>
      <c r="AC73" s="19" t="n"/>
      <c r="AD73" s="21" t="inlineStr">
        <is>
          <t>v0.1 auto-download failed (403 - site blocks scripts). Open the official site in a browser and download manually.</t>
        </is>
      </c>
      <c r="AE73" s="14" t="inlineStr">
        <is>
          <t>https://www.unesco.org/en/digital-education/g77-competencies</t>
        </is>
      </c>
      <c r="AF73" s="21">
        <f>IF($H73="","",IF($T73="To find","Not started",IF(($C73="")+($D73="")+($E73="")+($G73="")+($I73="")+($M73="")+($O73="")+($S73="")&gt;0,"Missing basic details",IF(AND($T73="Downloaded",($R73="")+($U73="")+($V73="")+(($W73="")*(RIGHT(LOWER($U73),4)=".pdf"))&gt;0),"Add file details",IF(AND($T73="Downloaded",LEN($X73)&lt;&gt;64),"Check SHA-256",IF(AND($Q73="",$R73=""),"Add a URL",IF($S73="No","Not official - replace",IF($M73="Not verified","Verify status","OK"))))))))</f>
        <v/>
      </c>
      <c r="AG73" s="21" t="inlineStr">
        <is>
          <t>Needs fix</t>
        </is>
      </c>
      <c r="AH73" s="21" t="inlineStr">
        <is>
          <t>Auto-QA 12-Oct-2026</t>
        </is>
      </c>
      <c r="AI73" s="21" t="inlineStr">
        <is>
          <t>1) Downloaded but missing: File Size (KB), SHA-256 Checksum, Version / Edition, Issued On, Pages. | 2) Set Current Status from the document (Current / Superseded ...).</t>
        </is>
      </c>
    </row>
    <row r="74" ht="14.25" customHeight="1" s="35">
      <c r="A74" s="21" t="inlineStr">
        <is>
          <t>S-070</t>
        </is>
      </c>
      <c r="B74" s="21" t="inlineStr">
        <is>
          <t>Intern B</t>
        </is>
      </c>
      <c r="C74" s="21" t="inlineStr">
        <is>
          <t>6. AI Readiness &amp; Responsible AI</t>
        </is>
      </c>
      <c r="D74" s="21" t="inlineStr">
        <is>
          <t>UNESCO</t>
        </is>
      </c>
      <c r="E74" s="21" t="inlineStr">
        <is>
          <t>standards_body</t>
        </is>
      </c>
      <c r="F74" s="21" t="inlineStr">
        <is>
          <t>Good-practice standard</t>
        </is>
      </c>
      <c r="G74" s="21" t="inlineStr">
        <is>
          <t>AI-002</t>
        </is>
      </c>
      <c r="H74" s="21" t="inlineStr">
        <is>
          <t>UNESCO AI Competency Framework for Teachers</t>
        </is>
      </c>
      <c r="I74" s="21" t="inlineStr">
        <is>
          <t>Framework</t>
        </is>
      </c>
      <c r="J74" s="21" t="n"/>
      <c r="K74" s="19" t="n"/>
      <c r="L74" s="19" t="n"/>
      <c r="M74" s="21" t="inlineStr">
        <is>
          <t>Not verified</t>
        </is>
      </c>
      <c r="N74" s="21" t="n"/>
      <c r="O74" s="21" t="inlineStr">
        <is>
          <t>Faculty and educators</t>
        </is>
      </c>
      <c r="P74" s="21" t="n"/>
      <c r="Q74" s="24" t="inlineStr">
        <is>
          <t>https://unesdoc.unesco.org/ark:/48223/pf0000391104</t>
        </is>
      </c>
      <c r="R74" s="24" t="inlineStr">
        <is>
          <t>https://unesdoc.unesco.org/ark:/48223/pf0000391104</t>
        </is>
      </c>
      <c r="S74" s="21" t="inlineStr">
        <is>
          <t>Yes</t>
        </is>
      </c>
      <c r="T74" s="21" t="inlineStr">
        <is>
          <t>Downloaded</t>
        </is>
      </c>
      <c r="U74" s="20" t="inlineStr">
        <is>
          <t>https://drive.google.com/file/d/1sGxwuRbsY0ht_Wq1_5dY7qOpv5jLKONR/view?usp=drive_link</t>
        </is>
      </c>
      <c r="V74" s="21" t="n"/>
      <c r="W74" s="21" t="n"/>
      <c r="X74" s="21" t="n"/>
      <c r="Y74" s="21" t="inlineStr">
        <is>
          <t>No</t>
        </is>
      </c>
      <c r="Z74" s="21" t="n">
        <v>3</v>
      </c>
      <c r="AA74" s="21" t="inlineStr">
        <is>
          <t>web_page</t>
        </is>
      </c>
      <c r="AB74" s="21" t="n"/>
      <c r="AC74" s="19" t="n"/>
      <c r="AD74" s="21" t="inlineStr">
        <is>
          <t>v0.1 auto-download failed (403 - site blocks scripts). Open the official site in a browser and download manually.</t>
        </is>
      </c>
      <c r="AE74" s="14" t="inlineStr">
        <is>
          <t>https://www.unesco.org/en/articles/ai-competency-framework-teachers?hub=365</t>
        </is>
      </c>
      <c r="AF74" s="21">
        <f>IF($H74="","",IF($T74="To find","Not started",IF(($C74="")+($D74="")+($E74="")+($G74="")+($I74="")+($M74="")+($O74="")+($S74="")&gt;0,"Missing basic details",IF(AND($T74="Downloaded",($R74="")+($U74="")+($V74="")+(($W74="")*(RIGHT(LOWER($U74),4)=".pdf"))&gt;0),"Add file details",IF(AND($T74="Downloaded",LEN($X74)&lt;&gt;64),"Check SHA-256",IF(AND($Q74="",$R74=""),"Add a URL",IF($S74="No","Not official - replace",IF($M74="Not verified","Verify status","OK"))))))))</f>
        <v/>
      </c>
      <c r="AG74" s="21" t="inlineStr">
        <is>
          <t>Needs fix</t>
        </is>
      </c>
      <c r="AH74" s="21" t="inlineStr">
        <is>
          <t>Auto-QA 12-Oct-2026</t>
        </is>
      </c>
      <c r="AI74" s="21" t="inlineStr">
        <is>
          <t>1) Downloaded but missing: File Size (KB), SHA-256 Checksum, Version / Edition, Issued On, Pages. | 2) Set Current Status from the document (Current / Superseded ...).</t>
        </is>
      </c>
    </row>
    <row r="75" ht="14.25" customHeight="1" s="35">
      <c r="A75" s="21" t="inlineStr">
        <is>
          <t>S-071</t>
        </is>
      </c>
      <c r="B75" s="21" t="inlineStr">
        <is>
          <t>Intern B</t>
        </is>
      </c>
      <c r="C75" s="21" t="inlineStr">
        <is>
          <t>6. AI Readiness &amp; Responsible AI</t>
        </is>
      </c>
      <c r="D75" s="21" t="inlineStr">
        <is>
          <t>UNESCO</t>
        </is>
      </c>
      <c r="E75" s="21" t="inlineStr">
        <is>
          <t>standards_body</t>
        </is>
      </c>
      <c r="F75" s="21" t="inlineStr">
        <is>
          <t>Good-practice standard</t>
        </is>
      </c>
      <c r="G75" s="21" t="inlineStr">
        <is>
          <t>AI-003</t>
        </is>
      </c>
      <c r="H75" s="21" t="inlineStr">
        <is>
          <t>UNESCO AI Competency Framework for Students</t>
        </is>
      </c>
      <c r="I75" s="21" t="inlineStr">
        <is>
          <t>Framework</t>
        </is>
      </c>
      <c r="J75" s="21" t="n"/>
      <c r="K75" s="19" t="n"/>
      <c r="L75" s="19" t="n"/>
      <c r="M75" s="21" t="inlineStr">
        <is>
          <t>Not verified</t>
        </is>
      </c>
      <c r="N75" s="21" t="n"/>
      <c r="O75" s="21" t="inlineStr">
        <is>
          <t>Students</t>
        </is>
      </c>
      <c r="P75" s="21" t="n"/>
      <c r="Q75" s="24" t="inlineStr">
        <is>
          <t>https://unesdoc.unesco.org/ark:/48223/pf0000391105</t>
        </is>
      </c>
      <c r="R75" s="20" t="inlineStr">
        <is>
          <t>https://unesdoc.unesco.org/ark:/48223/pf0000391105</t>
        </is>
      </c>
      <c r="S75" s="21" t="inlineStr">
        <is>
          <t>Yes</t>
        </is>
      </c>
      <c r="T75" s="21" t="inlineStr">
        <is>
          <t>Downloaded</t>
        </is>
      </c>
      <c r="U75" s="20" t="inlineStr">
        <is>
          <t>https://drive.google.com/file/d/1YKkWoDnY4x_9HR2i8sgzWT7llKABwz7_/view?usp=drive_link</t>
        </is>
      </c>
      <c r="V75" s="21" t="n"/>
      <c r="W75" s="21" t="n"/>
      <c r="X75" s="21" t="n"/>
      <c r="Y75" s="21" t="inlineStr">
        <is>
          <t>No</t>
        </is>
      </c>
      <c r="Z75" s="21" t="n">
        <v>3</v>
      </c>
      <c r="AA75" s="21" t="inlineStr">
        <is>
          <t>web_page</t>
        </is>
      </c>
      <c r="AB75" s="21" t="n"/>
      <c r="AC75" s="19" t="n"/>
      <c r="AD75" s="21" t="inlineStr">
        <is>
          <t>v0.1 auto-download failed (403 - site blocks scripts). Open the official site in a browser and download manually.</t>
        </is>
      </c>
      <c r="AE75" s="14" t="inlineStr">
        <is>
          <t>https://www.unesco.org/en/digital-education/g77-competencies</t>
        </is>
      </c>
      <c r="AF75" s="21">
        <f>IF($H75="","",IF($T75="To find","Not started",IF(($C75="")+($D75="")+($E75="")+($G75="")+($I75="")+($M75="")+($O75="")+($S75="")&gt;0,"Missing basic details",IF(AND($T75="Downloaded",($R75="")+($U75="")+($V75="")+(($W75="")*(RIGHT(LOWER($U75),4)=".pdf"))&gt;0),"Add file details",IF(AND($T75="Downloaded",LEN($X75)&lt;&gt;64),"Check SHA-256",IF(AND($Q75="",$R75=""),"Add a URL",IF($S75="No","Not official - replace",IF($M75="Not verified","Verify status","OK"))))))))</f>
        <v/>
      </c>
      <c r="AG75" s="21" t="inlineStr">
        <is>
          <t>Needs fix</t>
        </is>
      </c>
      <c r="AH75" s="21" t="inlineStr">
        <is>
          <t>Auto-QA 12-Oct-2026</t>
        </is>
      </c>
      <c r="AI75" s="21" t="inlineStr">
        <is>
          <t>1) Downloaded but missing: File Size (KB), SHA-256 Checksum, Version / Edition, Issued On, Pages. | 2) Set Current Status from the document (Current / Superseded ...).</t>
        </is>
      </c>
    </row>
    <row r="76" ht="14.25" customHeight="1" s="35">
      <c r="A76" s="21" t="inlineStr">
        <is>
          <t>S-072</t>
        </is>
      </c>
      <c r="B76" s="21" t="inlineStr">
        <is>
          <t>Intern B</t>
        </is>
      </c>
      <c r="C76" s="21" t="inlineStr">
        <is>
          <t>6. AI Readiness &amp; Responsible AI</t>
        </is>
      </c>
      <c r="D76" s="21" t="inlineStr">
        <is>
          <t>NIST</t>
        </is>
      </c>
      <c r="E76" s="21" t="inlineStr">
        <is>
          <t>standards_body</t>
        </is>
      </c>
      <c r="F76" s="21" t="inlineStr">
        <is>
          <t>Good-practice standard</t>
        </is>
      </c>
      <c r="G76" s="21" t="inlineStr">
        <is>
          <t>AI-004</t>
        </is>
      </c>
      <c r="H76" s="21" t="inlineStr">
        <is>
          <t>NIST AI Risk Management Framework 1.0 (NIST AI 100-1)</t>
        </is>
      </c>
      <c r="I76" s="21" t="inlineStr">
        <is>
          <t>Framework</t>
        </is>
      </c>
      <c r="J76" s="21" t="n"/>
      <c r="K76" s="19" t="n"/>
      <c r="L76" s="19" t="n"/>
      <c r="M76" s="21" t="inlineStr">
        <is>
          <t>Not verified</t>
        </is>
      </c>
      <c r="N76" s="21" t="n"/>
      <c r="O76" s="21" t="inlineStr">
        <is>
          <t>Institutions using AI</t>
        </is>
      </c>
      <c r="P76" s="21" t="n"/>
      <c r="Q76" s="14" t="inlineStr">
        <is>
          <t>https://www.nist.gov/itl/ai-risk-management-framework/ai-risk-management-framework-resources</t>
        </is>
      </c>
      <c r="R76" s="14" t="inlineStr">
        <is>
          <t>https://nvlpubs.nist.gov/nistpubs/ai/NIST.AI.100-1.pdf</t>
        </is>
      </c>
      <c r="S76" s="21" t="inlineStr">
        <is>
          <t>Yes</t>
        </is>
      </c>
      <c r="T76" s="21" t="inlineStr">
        <is>
          <t>Downloaded</t>
        </is>
      </c>
      <c r="U76" s="24" t="inlineStr">
        <is>
          <t>https://drive.google.com/file/d/1ubl6F4JGtiJti2tHyVAuilwjmfA9DwWe/view?usp=drive_link</t>
        </is>
      </c>
      <c r="V76" s="21" t="n">
        <v>1901</v>
      </c>
      <c r="W76" s="21" t="n">
        <v>48</v>
      </c>
      <c r="X76" s="21" t="inlineStr">
        <is>
          <t>7576edb531d9848825814ee88e28b1795d3a84b435b4b797d3670eafdc4a89f1</t>
        </is>
      </c>
      <c r="Y76" s="21" t="inlineStr">
        <is>
          <t>No</t>
        </is>
      </c>
      <c r="Z76" s="21" t="n">
        <v>3</v>
      </c>
      <c r="AA76" s="21" t="inlineStr">
        <is>
          <t>web_page</t>
        </is>
      </c>
      <c r="AB76" s="21" t="n"/>
      <c r="AC76" s="19" t="n"/>
      <c r="AD76" s="21" t="inlineStr">
        <is>
          <t>From manager v0.1 pack. Verify dates from the PDF.</t>
        </is>
      </c>
      <c r="AE76" s="21" t="n"/>
      <c r="AF76" s="21">
        <f>IF($H76="","",IF($T76="To find","Not started",IF(($C76="")+($D76="")+($E76="")+($G76="")+($I76="")+($M76="")+($O76="")+($S76="")&gt;0,"Missing basic details",IF(AND($T76="Downloaded",($R76="")+($U76="")+($V76="")+(($W76="")*(RIGHT(LOWER($U76),4)=".pdf"))&gt;0),"Add file details",IF(AND($T76="Downloaded",LEN($X76)&lt;&gt;64),"Check SHA-256",IF(AND($Q76="",$R76=""),"Add a URL",IF($S76="No","Not official - replace",IF($M76="Not verified","Verify status","OK"))))))))</f>
        <v/>
      </c>
      <c r="AG76" s="21" t="inlineStr">
        <is>
          <t>Needs fix</t>
        </is>
      </c>
      <c r="AH76" s="21" t="inlineStr">
        <is>
          <t>Auto-QA 12-Oct-2026</t>
        </is>
      </c>
      <c r="AI76" s="21" t="inlineStr">
        <is>
          <t>1) Downloaded but missing: Version / Edition, Issued On. | 2) Set Current Status from the document (Current / Superseded ...).</t>
        </is>
      </c>
    </row>
    <row r="77" ht="14.25" customHeight="1" s="35">
      <c r="A77" s="21" t="inlineStr">
        <is>
          <t>S-073</t>
        </is>
      </c>
      <c r="B77" s="21" t="inlineStr">
        <is>
          <t>Intern B</t>
        </is>
      </c>
      <c r="C77" s="21" t="inlineStr">
        <is>
          <t>6. AI Readiness &amp; Responsible AI</t>
        </is>
      </c>
      <c r="D77" s="21" t="inlineStr">
        <is>
          <t>NIST</t>
        </is>
      </c>
      <c r="E77" s="21" t="inlineStr">
        <is>
          <t>standards_body</t>
        </is>
      </c>
      <c r="F77" s="21" t="inlineStr">
        <is>
          <t>Good-practice standard</t>
        </is>
      </c>
      <c r="G77" s="21" t="inlineStr">
        <is>
          <t>AI-004B</t>
        </is>
      </c>
      <c r="H77" s="21" t="inlineStr">
        <is>
          <t>NIST Generative AI Profile (NIST AI 600-1)</t>
        </is>
      </c>
      <c r="I77" s="21" t="inlineStr">
        <is>
          <t>Framework</t>
        </is>
      </c>
      <c r="J77" s="21" t="n"/>
      <c r="K77" s="19" t="n"/>
      <c r="L77" s="19" t="n"/>
      <c r="M77" s="21" t="inlineStr">
        <is>
          <t>Not verified</t>
        </is>
      </c>
      <c r="N77" s="21" t="n"/>
      <c r="O77" s="21" t="inlineStr">
        <is>
          <t>Institutions using generative AI</t>
        </is>
      </c>
      <c r="P77" s="21" t="n"/>
      <c r="Q77" s="14" t="inlineStr">
        <is>
          <t>https://www.nist.gov/itl/ai-risk-management-framework/ai-risk-management-framework-resources</t>
        </is>
      </c>
      <c r="R77" s="14" t="inlineStr">
        <is>
          <t>https://nvlpubs.nist.gov/nistpubs/ai/NIST.AI.600-1.pdf</t>
        </is>
      </c>
      <c r="S77" s="21" t="inlineStr">
        <is>
          <t>Yes</t>
        </is>
      </c>
      <c r="T77" s="21" t="inlineStr">
        <is>
          <t>Downloaded</t>
        </is>
      </c>
      <c r="U77" s="24" t="inlineStr">
        <is>
          <t>https://drive.google.com/file/d/1ubl6F4JGtiJti2tHyVAuilwjmfA9DwWe/view?usp=drive_link</t>
        </is>
      </c>
      <c r="V77" s="21" t="n">
        <v>1147</v>
      </c>
      <c r="W77" s="21" t="n">
        <v>64</v>
      </c>
      <c r="X77" s="21" t="inlineStr">
        <is>
          <t>6e73620ab6b64e90ef2c04bf0e0d6246185a2f4b1b13cab0df494496cff89b6a</t>
        </is>
      </c>
      <c r="Y77" s="21" t="inlineStr">
        <is>
          <t>No</t>
        </is>
      </c>
      <c r="Z77" s="21" t="n">
        <v>3</v>
      </c>
      <c r="AA77" s="21" t="inlineStr">
        <is>
          <t>web_page</t>
        </is>
      </c>
      <c r="AB77" s="21" t="n"/>
      <c r="AC77" s="19" t="n"/>
      <c r="AD77" s="21" t="inlineStr">
        <is>
          <t>From manager v0.1 pack. Verify dates from the PDF.</t>
        </is>
      </c>
      <c r="AE77" s="21" t="n"/>
      <c r="AF77" s="21">
        <f>IF($H77="","",IF($T77="To find","Not started",IF(($C77="")+($D77="")+($E77="")+($G77="")+($I77="")+($M77="")+($O77="")+($S77="")&gt;0,"Missing basic details",IF(AND($T77="Downloaded",($R77="")+($U77="")+($V77="")+(($W77="")*(RIGHT(LOWER($U77),4)=".pdf"))&gt;0),"Add file details",IF(AND($T77="Downloaded",LEN($X77)&lt;&gt;64),"Check SHA-256",IF(AND($Q77="",$R77=""),"Add a URL",IF($S77="No","Not official - replace",IF($M77="Not verified","Verify status","OK"))))))))</f>
        <v/>
      </c>
      <c r="AG77" s="21" t="inlineStr">
        <is>
          <t>Needs fix</t>
        </is>
      </c>
      <c r="AH77" s="21" t="inlineStr">
        <is>
          <t>Auto-QA 12-Oct-2026</t>
        </is>
      </c>
      <c r="AI77" s="21" t="inlineStr">
        <is>
          <t>1) Downloaded but missing: Version / Edition, Issued On. | 2) Set Current Status from the document (Current / Superseded ...).</t>
        </is>
      </c>
    </row>
    <row r="78" ht="14.25" customHeight="1" s="35">
      <c r="A78" s="21" t="inlineStr">
        <is>
          <t>S-074</t>
        </is>
      </c>
      <c r="B78" s="21" t="inlineStr">
        <is>
          <t>Intern B</t>
        </is>
      </c>
      <c r="C78" s="21" t="inlineStr">
        <is>
          <t>6. AI Readiness &amp; Responsible AI</t>
        </is>
      </c>
      <c r="D78" s="21" t="inlineStr">
        <is>
          <t>NIST</t>
        </is>
      </c>
      <c r="E78" s="21" t="inlineStr">
        <is>
          <t>standards_body</t>
        </is>
      </c>
      <c r="F78" s="21" t="inlineStr">
        <is>
          <t>Good-practice standard</t>
        </is>
      </c>
      <c r="G78" s="21" t="inlineStr">
        <is>
          <t>AI-007</t>
        </is>
      </c>
      <c r="H78" s="21" t="inlineStr">
        <is>
          <t>NIST AI RMF Playbook</t>
        </is>
      </c>
      <c r="I78" s="21" t="inlineStr">
        <is>
          <t>Guideline</t>
        </is>
      </c>
      <c r="J78" s="21" t="n"/>
      <c r="K78" s="19" t="n"/>
      <c r="L78" s="19" t="n"/>
      <c r="M78" s="21" t="inlineStr">
        <is>
          <t>Not verified</t>
        </is>
      </c>
      <c r="N78" s="21" t="n"/>
      <c r="O78" s="21" t="n"/>
      <c r="P78" s="21" t="n"/>
      <c r="Q78" s="24" t="inlineStr">
        <is>
          <t>https://airc.nist.gov/airmf-resources/playbook//</t>
        </is>
      </c>
      <c r="R78" s="24" t="inlineStr">
        <is>
          <t>https://airc.nist.gov/airmf-resources/playbook/</t>
        </is>
      </c>
      <c r="S78" s="21" t="inlineStr">
        <is>
          <t>Yes</t>
        </is>
      </c>
      <c r="T78" s="21" t="inlineStr">
        <is>
          <t>Downloaded</t>
        </is>
      </c>
      <c r="U78" s="20" t="inlineStr">
        <is>
          <t>https://drive.google.com/file/d/1R7l_Kq_yH--gkDDOqo0wPLRrb41ziTwh/view?usp=drive_link</t>
        </is>
      </c>
      <c r="V78" s="21" t="n"/>
      <c r="W78" s="21" t="n"/>
      <c r="X78" s="21" t="n"/>
      <c r="Y78" s="21" t="inlineStr">
        <is>
          <t>No</t>
        </is>
      </c>
      <c r="Z78" s="21" t="n">
        <v>3</v>
      </c>
      <c r="AA78" s="21" t="inlineStr">
        <is>
          <t>web_page</t>
        </is>
      </c>
      <c r="AB78" s="21" t="n"/>
      <c r="AC78" s="19" t="n"/>
      <c r="AD78" s="21" t="n"/>
      <c r="AE78" s="14" t="inlineStr">
        <is>
          <t>https://www.nist.gov/itl/ai-risk-management-framework/ai-risk-management-framework-resources</t>
        </is>
      </c>
      <c r="AF78" s="21">
        <f>IF($H78="","",IF($T78="To find","Not started",IF(($C78="")+($D78="")+($E78="")+($G78="")+($I78="")+($M78="")+($O78="")+($S78="")&gt;0,"Missing basic details",IF(AND($T78="Downloaded",($R78="")+($U78="")+($V78="")+(($W78="")*(RIGHT(LOWER($U78),4)=".pdf"))&gt;0),"Add file details",IF(AND($T78="Downloaded",LEN($X78)&lt;&gt;64),"Check SHA-256",IF(AND($Q78="",$R78=""),"Add a URL",IF($S78="No","Not official - replace",IF($M78="Not verified","Verify status","OK"))))))))</f>
        <v/>
      </c>
      <c r="AG78" s="21" t="inlineStr">
        <is>
          <t>Needs fix</t>
        </is>
      </c>
      <c r="AH78" s="21" t="inlineStr">
        <is>
          <t>Auto-QA 12-Oct-2026</t>
        </is>
      </c>
      <c r="AI78" s="21" t="inlineStr">
        <is>
          <t>1) Downloaded but missing: File Size (KB), SHA-256 Checksum, Version / Edition, Issued On, Pages. | 2) Set Current Status from the document (Current / Superseded ...). | 3) Fill "Applies To".</t>
        </is>
      </c>
    </row>
    <row r="79" ht="14.25" customHeight="1" s="35">
      <c r="A79" s="21" t="inlineStr">
        <is>
          <t>S-075</t>
        </is>
      </c>
      <c r="B79" s="21" t="inlineStr">
        <is>
          <t>Intern B</t>
        </is>
      </c>
      <c r="C79" s="21" t="inlineStr">
        <is>
          <t>6. AI Readiness &amp; Responsible AI</t>
        </is>
      </c>
      <c r="D79" s="21" t="inlineStr">
        <is>
          <t>ISO/IEC</t>
        </is>
      </c>
      <c r="E79" s="21" t="inlineStr">
        <is>
          <t>standards_body</t>
        </is>
      </c>
      <c r="F79" s="21" t="inlineStr">
        <is>
          <t>Good-practice standard</t>
        </is>
      </c>
      <c r="G79" s="21" t="inlineStr">
        <is>
          <t>AI-005</t>
        </is>
      </c>
      <c r="H79" s="21" t="inlineStr">
        <is>
          <t>ISO/IEC 42001:2023 AI management system</t>
        </is>
      </c>
      <c r="I79" s="21" t="inlineStr">
        <is>
          <t>Standard</t>
        </is>
      </c>
      <c r="J79" s="21" t="n"/>
      <c r="K79" s="19" t="n"/>
      <c r="L79" s="19" t="n"/>
      <c r="M79" s="21" t="inlineStr">
        <is>
          <t>Not verified</t>
        </is>
      </c>
      <c r="N79" s="21" t="n"/>
      <c r="O79" s="21" t="n"/>
      <c r="P79" s="21" t="n"/>
      <c r="Q79" s="14" t="inlineStr">
        <is>
          <t>https://www.iso.org/artificial-intelligence/ai-management-systems</t>
        </is>
      </c>
      <c r="R79" s="21" t="n"/>
      <c r="S79" s="21" t="inlineStr">
        <is>
          <t>Yes</t>
        </is>
      </c>
      <c r="T79" s="21" t="inlineStr">
        <is>
          <t>Licensed - link only</t>
        </is>
      </c>
      <c r="U79" s="20" t="inlineStr">
        <is>
          <t>https://drive.google.com/file/d/1TJWoDICER0I5XAMzrTX4yhSAQxxjQ2US/view?usp=drive_link</t>
        </is>
      </c>
      <c r="V79" s="21" t="n"/>
      <c r="W79" s="21" t="n"/>
      <c r="X79" s="21" t="n"/>
      <c r="Y79" s="21" t="inlineStr">
        <is>
          <t>Yes</t>
        </is>
      </c>
      <c r="Z79" s="21" t="n">
        <v>12</v>
      </c>
      <c r="AA79" s="21" t="inlineStr">
        <is>
          <t>manual_upload</t>
        </is>
      </c>
      <c r="AB79" s="21" t="n"/>
      <c r="AC79" s="19" t="n"/>
      <c r="AD79" s="21" t="inlineStr">
        <is>
          <t>Licensed: record the official page and edition only. Do NOT download or copy the text.</t>
        </is>
      </c>
      <c r="AE79" s="21" t="n"/>
      <c r="AF79" s="21">
        <f>IF($H79="","",IF($T79="To find","Not started",IF(($C79="")+($D79="")+($E79="")+($G79="")+($I79="")+($M79="")+($O79="")+($S79="")&gt;0,"Missing basic details",IF(AND($T79="Downloaded",($R79="")+($U79="")+($V79="")+(($W79="")*(RIGHT(LOWER($U79),4)=".pdf"))&gt;0),"Add file details",IF(AND($T79="Downloaded",LEN($X79)&lt;&gt;64),"Check SHA-256",IF(AND($Q79="",$R79=""),"Add a URL",IF($S79="No","Not official - replace",IF($M79="Not verified","Verify status","OK"))))))))</f>
        <v/>
      </c>
      <c r="AG79" s="21" t="inlineStr">
        <is>
          <t>Needs fix</t>
        </is>
      </c>
      <c r="AH79" s="21" t="inlineStr">
        <is>
          <t>Auto-QA 12-Oct-2026</t>
        </is>
      </c>
      <c r="AI79" s="21" t="inlineStr">
        <is>
          <t>1) LICENSED ISO/IEC standard: delete the Drive copy unless InGage holds a licence; keep only the official iso.org page + edition; set status "Licensed - link only". | 2) Fill "Applies To".</t>
        </is>
      </c>
    </row>
    <row r="80" ht="14.25" customHeight="1" s="35">
      <c r="A80" s="21" t="inlineStr">
        <is>
          <t>S-076</t>
        </is>
      </c>
      <c r="B80" s="21" t="inlineStr">
        <is>
          <t>Intern B</t>
        </is>
      </c>
      <c r="C80" s="21" t="inlineStr">
        <is>
          <t>6. AI Readiness &amp; Responsible AI</t>
        </is>
      </c>
      <c r="D80" s="21" t="inlineStr">
        <is>
          <t>ISO/IEC</t>
        </is>
      </c>
      <c r="E80" s="21" t="inlineStr">
        <is>
          <t>standards_body</t>
        </is>
      </c>
      <c r="F80" s="21" t="inlineStr">
        <is>
          <t>Good-practice standard</t>
        </is>
      </c>
      <c r="G80" s="21" t="inlineStr">
        <is>
          <t>AI-006</t>
        </is>
      </c>
      <c r="H80" s="21" t="inlineStr">
        <is>
          <t>ISO/IEC 42005:2025 AI system impact assessment</t>
        </is>
      </c>
      <c r="I80" s="21" t="inlineStr">
        <is>
          <t>Standard</t>
        </is>
      </c>
      <c r="J80" s="21" t="n"/>
      <c r="K80" s="19" t="n"/>
      <c r="L80" s="19" t="n"/>
      <c r="M80" s="21" t="inlineStr">
        <is>
          <t>Not verified</t>
        </is>
      </c>
      <c r="N80" s="21" t="n"/>
      <c r="O80" s="21" t="n"/>
      <c r="P80" s="21" t="n"/>
      <c r="Q80" s="14" t="inlineStr">
        <is>
          <t>https://www.iso.org/publication/PUB200420.html</t>
        </is>
      </c>
      <c r="R80" s="21" t="n"/>
      <c r="S80" s="21" t="inlineStr">
        <is>
          <t>Yes</t>
        </is>
      </c>
      <c r="T80" s="21" t="inlineStr">
        <is>
          <t>Licensed - link only</t>
        </is>
      </c>
      <c r="U80" s="20" t="inlineStr">
        <is>
          <t>https://drive.google.com/file/d/1XqYmAbwFnspv8QFFK4FGjmJK4j3Wjgdt/view?usp=drive_link</t>
        </is>
      </c>
      <c r="V80" s="21" t="n"/>
      <c r="W80" s="21" t="n"/>
      <c r="X80" s="21" t="n"/>
      <c r="Y80" s="21" t="inlineStr">
        <is>
          <t>Yes</t>
        </is>
      </c>
      <c r="Z80" s="21" t="n">
        <v>12</v>
      </c>
      <c r="AA80" s="21" t="inlineStr">
        <is>
          <t>manual_upload</t>
        </is>
      </c>
      <c r="AB80" s="21" t="n"/>
      <c r="AC80" s="19" t="n"/>
      <c r="AD80" s="21" t="inlineStr">
        <is>
          <t>Licensed: record the official page and edition only. Do NOT download or copy the text.</t>
        </is>
      </c>
      <c r="AE80" s="21" t="n"/>
      <c r="AF80" s="21">
        <f>IF($H80="","",IF($T80="To find","Not started",IF(($C80="")+($D80="")+($E80="")+($G80="")+($I80="")+($M80="")+($O80="")+($S80="")&gt;0,"Missing basic details",IF(AND($T80="Downloaded",($R80="")+($U80="")+($V80="")+(($W80="")*(RIGHT(LOWER($U80),4)=".pdf"))&gt;0),"Add file details",IF(AND($T80="Downloaded",LEN($X80)&lt;&gt;64),"Check SHA-256",IF(AND($Q80="",$R80=""),"Add a URL",IF($S80="No","Not official - replace",IF($M80="Not verified","Verify status","OK"))))))))</f>
        <v/>
      </c>
      <c r="AG80" s="21" t="inlineStr">
        <is>
          <t>Needs fix</t>
        </is>
      </c>
      <c r="AH80" s="21" t="inlineStr">
        <is>
          <t>Auto-QA 12-Oct-2026</t>
        </is>
      </c>
      <c r="AI80" s="21" t="inlineStr">
        <is>
          <t>1) LICENSED ISO/IEC standard: delete the Drive copy unless InGage holds a licence; keep only the official iso.org page + edition; set status "Licensed - link only". | 2) Fill "Applies To".</t>
        </is>
      </c>
    </row>
    <row r="81" ht="14.25" customHeight="1" s="35">
      <c r="A81" s="21" t="inlineStr">
        <is>
          <t>S-077</t>
        </is>
      </c>
      <c r="B81" s="21" t="inlineStr">
        <is>
          <t>Intern B</t>
        </is>
      </c>
      <c r="C81" s="21" t="inlineStr">
        <is>
          <t>6. AI Readiness &amp; Responsible AI</t>
        </is>
      </c>
      <c r="D81" s="21" t="inlineStr">
        <is>
          <t>ISO/IEC</t>
        </is>
      </c>
      <c r="E81" s="21" t="inlineStr">
        <is>
          <t>standards_body</t>
        </is>
      </c>
      <c r="F81" s="21" t="inlineStr">
        <is>
          <t>Good-practice standard</t>
        </is>
      </c>
      <c r="G81" s="21" t="inlineStr">
        <is>
          <t>ISO-001</t>
        </is>
      </c>
      <c r="H81" s="21" t="inlineStr">
        <is>
          <t>ISO/IEC 23894 AI risk management</t>
        </is>
      </c>
      <c r="I81" s="21" t="inlineStr">
        <is>
          <t>Standard</t>
        </is>
      </c>
      <c r="J81" s="21" t="n"/>
      <c r="K81" s="19" t="n"/>
      <c r="L81" s="19" t="n"/>
      <c r="M81" s="21" t="inlineStr">
        <is>
          <t>Not verified</t>
        </is>
      </c>
      <c r="N81" s="21" t="n"/>
      <c r="O81" s="21" t="n"/>
      <c r="P81" s="21" t="n"/>
      <c r="Q81" s="21" t="n"/>
      <c r="R81" s="21" t="n"/>
      <c r="S81" s="21" t="inlineStr">
        <is>
          <t>Yes</t>
        </is>
      </c>
      <c r="T81" s="21" t="inlineStr">
        <is>
          <t>Downloaded</t>
        </is>
      </c>
      <c r="U81" s="20" t="inlineStr">
        <is>
          <t>https://drive.google.com/file/d/1MfiP_J7v76XC9ueGUKRVzdWmbW8YlEIL/view?usp=drive_link</t>
        </is>
      </c>
      <c r="V81" s="21" t="n"/>
      <c r="W81" s="21" t="n"/>
      <c r="X81" s="21" t="n"/>
      <c r="Y81" s="21" t="inlineStr">
        <is>
          <t>Yes</t>
        </is>
      </c>
      <c r="Z81" s="21" t="n">
        <v>12</v>
      </c>
      <c r="AA81" s="21" t="inlineStr">
        <is>
          <t>manual_upload</t>
        </is>
      </c>
      <c r="AB81" s="21" t="n"/>
      <c r="AC81" s="19" t="n"/>
      <c r="AD81" s="21" t="inlineStr">
        <is>
          <t>Licensed: official page and edition only.</t>
        </is>
      </c>
      <c r="AE81" s="14" t="inlineStr">
        <is>
          <t>https://www.iso.org/</t>
        </is>
      </c>
      <c r="AF81" s="21">
        <f>IF($H81="","",IF($T81="To find","Not started",IF(($C81="")+($D81="")+($E81="")+($G81="")+($I81="")+($M81="")+($O81="")+($S81="")&gt;0,"Missing basic details",IF(AND($T81="Downloaded",($R81="")+($U81="")+($V81="")+(($W81="")*(RIGHT(LOWER($U81),4)=".pdf"))&gt;0),"Add file details",IF(AND($T81="Downloaded",LEN($X81)&lt;&gt;64),"Check SHA-256",IF(AND($Q81="",$R81=""),"Add a URL",IF($S81="No","Not official - replace",IF($M81="Not verified","Verify status","OK"))))))))</f>
        <v/>
      </c>
      <c r="AG81" s="21" t="inlineStr">
        <is>
          <t>Needs fix</t>
        </is>
      </c>
      <c r="AH81" s="21" t="inlineStr">
        <is>
          <t>Auto-QA 12-Oct-2026</t>
        </is>
      </c>
      <c r="AI81" s="21" t="inlineStr">
        <is>
          <t>1) LICENSED ISO/IEC standard: delete the Drive copy unless InGage holds a licence; keep only the official iso.org page + edition; set status "Licensed - link only". | 2) Fill "Applies To".</t>
        </is>
      </c>
    </row>
    <row r="82" ht="14.25" customHeight="1" s="35">
      <c r="A82" s="21" t="inlineStr">
        <is>
          <t>S-078</t>
        </is>
      </c>
      <c r="B82" s="21" t="inlineStr">
        <is>
          <t>Intern B</t>
        </is>
      </c>
      <c r="C82" s="21" t="inlineStr">
        <is>
          <t>6. AI Readiness &amp; Responsible AI</t>
        </is>
      </c>
      <c r="D82" s="21" t="inlineStr">
        <is>
          <t>ISO/IEC</t>
        </is>
      </c>
      <c r="E82" s="21" t="inlineStr">
        <is>
          <t>standards_body</t>
        </is>
      </c>
      <c r="F82" s="21" t="inlineStr">
        <is>
          <t>Good-practice standard</t>
        </is>
      </c>
      <c r="G82" s="21" t="inlineStr">
        <is>
          <t>ISO-002</t>
        </is>
      </c>
      <c r="H82" s="21" t="inlineStr">
        <is>
          <t>ISO/IEC 27001 information security management</t>
        </is>
      </c>
      <c r="I82" s="21" t="inlineStr">
        <is>
          <t>Standard</t>
        </is>
      </c>
      <c r="J82" s="21" t="n"/>
      <c r="K82" s="19" t="n"/>
      <c r="L82" s="19" t="n"/>
      <c r="M82" s="21" t="inlineStr">
        <is>
          <t>Not verified</t>
        </is>
      </c>
      <c r="N82" s="21" t="n"/>
      <c r="O82" s="21" t="n"/>
      <c r="P82" s="21" t="n"/>
      <c r="Q82" s="21" t="n"/>
      <c r="R82" s="21" t="n"/>
      <c r="S82" s="21" t="inlineStr">
        <is>
          <t>Yes</t>
        </is>
      </c>
      <c r="T82" s="21" t="inlineStr">
        <is>
          <t>Downloaded</t>
        </is>
      </c>
      <c r="U82" s="20" t="inlineStr">
        <is>
          <t>https://drive.google.com/file/d/1z_jbTsc666Bpvsjpnqd1PCQe0TtWPw-l/view?usp=drive_link</t>
        </is>
      </c>
      <c r="V82" s="21" t="n"/>
      <c r="W82" s="21" t="n"/>
      <c r="X82" s="21" t="n"/>
      <c r="Y82" s="21" t="inlineStr">
        <is>
          <t>Yes</t>
        </is>
      </c>
      <c r="Z82" s="21" t="n">
        <v>12</v>
      </c>
      <c r="AA82" s="21" t="inlineStr">
        <is>
          <t>manual_upload</t>
        </is>
      </c>
      <c r="AB82" s="21" t="n"/>
      <c r="AC82" s="19" t="n"/>
      <c r="AD82" s="21" t="inlineStr">
        <is>
          <t>Licensed: official page and edition only.</t>
        </is>
      </c>
      <c r="AE82" s="14" t="inlineStr">
        <is>
          <t>https://www.iso.org/</t>
        </is>
      </c>
      <c r="AF82" s="21">
        <f>IF($H82="","",IF($T82="To find","Not started",IF(($C82="")+($D82="")+($E82="")+($G82="")+($I82="")+($M82="")+($O82="")+($S82="")&gt;0,"Missing basic details",IF(AND($T82="Downloaded",($R82="")+($U82="")+($V82="")+(($W82="")*(RIGHT(LOWER($U82),4)=".pdf"))&gt;0),"Add file details",IF(AND($T82="Downloaded",LEN($X82)&lt;&gt;64),"Check SHA-256",IF(AND($Q82="",$R82=""),"Add a URL",IF($S82="No","Not official - replace",IF($M82="Not verified","Verify status","OK"))))))))</f>
        <v/>
      </c>
      <c r="AG82" s="21" t="inlineStr">
        <is>
          <t>Needs fix</t>
        </is>
      </c>
      <c r="AH82" s="21" t="inlineStr">
        <is>
          <t>Auto-QA 12-Oct-2026</t>
        </is>
      </c>
      <c r="AI82" s="21" t="inlineStr">
        <is>
          <t>1) LICENSED ISO/IEC standard: delete the Drive copy unless InGage holds a licence; keep only the official iso.org page + edition; set status "Licensed - link only". | 2) Fill "Applies To".</t>
        </is>
      </c>
    </row>
    <row r="83" ht="14.25" customHeight="1" s="35">
      <c r="A83" s="21" t="inlineStr">
        <is>
          <t>S-079</t>
        </is>
      </c>
      <c r="B83" s="21" t="inlineStr">
        <is>
          <t>Intern B</t>
        </is>
      </c>
      <c r="C83" s="21" t="inlineStr">
        <is>
          <t>6. AI Readiness &amp; Responsible AI</t>
        </is>
      </c>
      <c r="D83" s="21" t="inlineStr">
        <is>
          <t>ISO/IEC</t>
        </is>
      </c>
      <c r="E83" s="21" t="inlineStr">
        <is>
          <t>standards_body</t>
        </is>
      </c>
      <c r="F83" s="21" t="inlineStr">
        <is>
          <t>Good-practice standard</t>
        </is>
      </c>
      <c r="G83" s="21" t="inlineStr">
        <is>
          <t>ISO-003</t>
        </is>
      </c>
      <c r="H83" s="21" t="inlineStr">
        <is>
          <t>ISO/IEC 27701 privacy information management</t>
        </is>
      </c>
      <c r="I83" s="21" t="inlineStr">
        <is>
          <t>Standard</t>
        </is>
      </c>
      <c r="J83" s="21" t="n"/>
      <c r="K83" s="19" t="n"/>
      <c r="L83" s="19" t="n"/>
      <c r="M83" s="21" t="inlineStr">
        <is>
          <t>Not verified</t>
        </is>
      </c>
      <c r="N83" s="21" t="n"/>
      <c r="O83" s="21" t="n"/>
      <c r="P83" s="21" t="n"/>
      <c r="Q83" s="21" t="n"/>
      <c r="R83" s="21" t="n"/>
      <c r="S83" s="21" t="inlineStr">
        <is>
          <t>Yes</t>
        </is>
      </c>
      <c r="T83" s="21" t="inlineStr">
        <is>
          <t>Downloaded</t>
        </is>
      </c>
      <c r="U83" s="24" t="inlineStr">
        <is>
          <t>https://drive.google.com/file/d/1Sm-vlyeyk3gfuvp9s67JYArYekoL2TFl/view?usp=drive_link</t>
        </is>
      </c>
      <c r="V83" s="21" t="n"/>
      <c r="W83" s="21" t="n"/>
      <c r="X83" s="21" t="n"/>
      <c r="Y83" s="21" t="inlineStr">
        <is>
          <t>Yes</t>
        </is>
      </c>
      <c r="Z83" s="21" t="n">
        <v>12</v>
      </c>
      <c r="AA83" s="21" t="inlineStr">
        <is>
          <t>manual_upload</t>
        </is>
      </c>
      <c r="AB83" s="21" t="n"/>
      <c r="AC83" s="19" t="n"/>
      <c r="AD83" s="21" t="inlineStr">
        <is>
          <t>Licensed: official page and edition only.</t>
        </is>
      </c>
      <c r="AE83" s="14" t="inlineStr">
        <is>
          <t>https://www.iso.org/</t>
        </is>
      </c>
      <c r="AF83" s="21">
        <f>IF($H83="","",IF($T83="To find","Not started",IF(($C83="")+($D83="")+($E83="")+($G83="")+($I83="")+($M83="")+($O83="")+($S83="")&gt;0,"Missing basic details",IF(AND($T83="Downloaded",($R83="")+($U83="")+($V83="")+(($W83="")*(RIGHT(LOWER($U83),4)=".pdf"))&gt;0),"Add file details",IF(AND($T83="Downloaded",LEN($X83)&lt;&gt;64),"Check SHA-256",IF(AND($Q83="",$R83=""),"Add a URL",IF($S83="No","Not official - replace",IF($M83="Not verified","Verify status","OK"))))))))</f>
        <v/>
      </c>
      <c r="AG83" s="21" t="inlineStr">
        <is>
          <t>Needs fix</t>
        </is>
      </c>
      <c r="AH83" s="21" t="inlineStr">
        <is>
          <t>Auto-QA 12-Oct-2026</t>
        </is>
      </c>
      <c r="AI83" s="21" t="inlineStr">
        <is>
          <t>1) LICENSED ISO/IEC standard: delete the Drive copy unless InGage holds a licence; keep only the official iso.org page + edition; set status "Licensed - link only". | 2) Fill "Applies To".</t>
        </is>
      </c>
    </row>
    <row r="84" ht="14.25" customHeight="1" s="35">
      <c r="A84" s="21" t="inlineStr">
        <is>
          <t>S-080</t>
        </is>
      </c>
      <c r="B84" s="21" t="inlineStr">
        <is>
          <t>Intern B</t>
        </is>
      </c>
      <c r="C84" s="21" t="inlineStr">
        <is>
          <t>6. AI Readiness &amp; Responsible AI</t>
        </is>
      </c>
      <c r="D84" s="21" t="inlineStr">
        <is>
          <t>ISO/IEC</t>
        </is>
      </c>
      <c r="E84" s="21" t="inlineStr">
        <is>
          <t>standards_body</t>
        </is>
      </c>
      <c r="F84" s="21" t="inlineStr">
        <is>
          <t>Good-practice standard</t>
        </is>
      </c>
      <c r="G84" s="21" t="inlineStr">
        <is>
          <t>ISO-004</t>
        </is>
      </c>
      <c r="H84" s="21" t="inlineStr">
        <is>
          <t>ISO 22301 business continuity management</t>
        </is>
      </c>
      <c r="I84" s="21" t="inlineStr">
        <is>
          <t>Standard</t>
        </is>
      </c>
      <c r="J84" s="21" t="n"/>
      <c r="K84" s="19" t="n"/>
      <c r="L84" s="19" t="n"/>
      <c r="M84" s="21" t="inlineStr">
        <is>
          <t>Not verified</t>
        </is>
      </c>
      <c r="N84" s="21" t="n"/>
      <c r="O84" s="21" t="n"/>
      <c r="P84" s="21" t="n"/>
      <c r="Q84" s="21" t="n"/>
      <c r="R84" s="21" t="n"/>
      <c r="S84" s="21" t="inlineStr">
        <is>
          <t>Yes</t>
        </is>
      </c>
      <c r="T84" s="21" t="inlineStr">
        <is>
          <t>Downloaded</t>
        </is>
      </c>
      <c r="U84" s="20" t="inlineStr">
        <is>
          <t>https://drive.google.com/file/d/16V9ZAZ9q1rQi9bJMztPkLraXcUz9ygrs/view?usp=drive_link</t>
        </is>
      </c>
      <c r="V84" s="21" t="n"/>
      <c r="W84" s="21" t="n"/>
      <c r="X84" s="21" t="n"/>
      <c r="Y84" s="21" t="inlineStr">
        <is>
          <t>Yes</t>
        </is>
      </c>
      <c r="Z84" s="21" t="n">
        <v>12</v>
      </c>
      <c r="AA84" s="21" t="inlineStr">
        <is>
          <t>manual_upload</t>
        </is>
      </c>
      <c r="AB84" s="21" t="n"/>
      <c r="AC84" s="19" t="n"/>
      <c r="AD84" s="21" t="inlineStr">
        <is>
          <t>Licensed: official page and edition only.</t>
        </is>
      </c>
      <c r="AE84" s="14" t="inlineStr">
        <is>
          <t>https://www.iso.org/</t>
        </is>
      </c>
      <c r="AF84" s="21">
        <f>IF($H84="","",IF($T84="To find","Not started",IF(($C84="")+($D84="")+($E84="")+($G84="")+($I84="")+($M84="")+($O84="")+($S84="")&gt;0,"Missing basic details",IF(AND($T84="Downloaded",($R84="")+($U84="")+($V84="")+(($W84="")*(RIGHT(LOWER($U84),4)=".pdf"))&gt;0),"Add file details",IF(AND($T84="Downloaded",LEN($X84)&lt;&gt;64),"Check SHA-256",IF(AND($Q84="",$R84=""),"Add a URL",IF($S84="No","Not official - replace",IF($M84="Not verified","Verify status","OK"))))))))</f>
        <v/>
      </c>
      <c r="AG84" s="21" t="inlineStr">
        <is>
          <t>Needs fix</t>
        </is>
      </c>
      <c r="AH84" s="21" t="inlineStr">
        <is>
          <t>Auto-QA 12-Oct-2026</t>
        </is>
      </c>
      <c r="AI84" s="21" t="inlineStr">
        <is>
          <t>1) LICENSED ISO/IEC standard: delete the Drive copy unless InGage holds a licence; keep only the official iso.org page + edition; set status "Licensed - link only". | 2) Fill "Applies To".</t>
        </is>
      </c>
    </row>
    <row r="85" ht="14.25" customHeight="1" s="35">
      <c r="A85" s="21" t="inlineStr">
        <is>
          <t>S-081</t>
        </is>
      </c>
      <c r="B85" s="21" t="inlineStr">
        <is>
          <t>Intern B</t>
        </is>
      </c>
      <c r="C85" s="21" t="inlineStr">
        <is>
          <t>6. AI Readiness &amp; Responsible AI</t>
        </is>
      </c>
      <c r="D85" s="21" t="inlineStr">
        <is>
          <t>MeitY/IndiaAI</t>
        </is>
      </c>
      <c r="E85" s="21" t="inlineStr">
        <is>
          <t>government_policy</t>
        </is>
      </c>
      <c r="F85" s="21" t="inlineStr">
        <is>
          <t>Good-practice standard</t>
        </is>
      </c>
      <c r="G85" s="21" t="inlineStr">
        <is>
          <t>INDIAAI-001</t>
        </is>
      </c>
      <c r="H85" s="21" t="inlineStr">
        <is>
          <t>IndiaAI / MeitY AI policy, governance and responsible-AI materials</t>
        </is>
      </c>
      <c r="I85" s="21" t="inlineStr">
        <is>
          <t>Policy</t>
        </is>
      </c>
      <c r="J85" s="21" t="n"/>
      <c r="K85" s="19" t="n"/>
      <c r="L85" s="19" t="n"/>
      <c r="M85" s="21" t="inlineStr">
        <is>
          <t>Not verified</t>
        </is>
      </c>
      <c r="N85" s="21" t="n"/>
      <c r="O85" s="21" t="inlineStr">
        <is>
          <t>Indian institutions</t>
        </is>
      </c>
      <c r="P85" s="21" t="n"/>
      <c r="Q85" s="24" t="inlineStr">
        <is>
          <t>https://static.pib.gov.in/WriteReadData/specificdocs/documents/2025/nov/doc2025115685601.pdf</t>
        </is>
      </c>
      <c r="R85" s="20" t="inlineStr">
        <is>
          <t>https://static.pib.gov.in/WriteReadData/specificdocs/documents/2025/nov/doc2025115685601.pdf</t>
        </is>
      </c>
      <c r="S85" s="21" t="inlineStr">
        <is>
          <t>Yes</t>
        </is>
      </c>
      <c r="T85" s="21" t="inlineStr">
        <is>
          <t>Downloaded</t>
        </is>
      </c>
      <c r="U85" s="20" t="inlineStr">
        <is>
          <t>https://drive.google.com/file/d/1spGtRr33yzTFY3IWOLdkl9zjyHq0TY0W/view?usp=drive_link</t>
        </is>
      </c>
      <c r="V85" s="21" t="n"/>
      <c r="W85" s="21" t="n"/>
      <c r="X85" s="21" t="n"/>
      <c r="Y85" s="21" t="inlineStr">
        <is>
          <t>No</t>
        </is>
      </c>
      <c r="Z85" s="21" t="n">
        <v>3</v>
      </c>
      <c r="AA85" s="21" t="inlineStr">
        <is>
          <t>web_page</t>
        </is>
      </c>
      <c r="AB85" s="21" t="n"/>
      <c r="AC85" s="19" t="n"/>
      <c r="AD85" s="21" t="inlineStr">
        <is>
          <t>One row per official document found.</t>
        </is>
      </c>
      <c r="AE85" s="14" t="inlineStr">
        <is>
          <t>https://www.meity.gov.in/ministry/our-groups/details/ai-emerging-technologies-division-QN5EDOtQWa</t>
        </is>
      </c>
      <c r="AF85" s="21">
        <f>IF($H85="","",IF($T85="To find","Not started",IF(($C85="")+($D85="")+($E85="")+($G85="")+($I85="")+($M85="")+($O85="")+($S85="")&gt;0,"Missing basic details",IF(AND($T85="Downloaded",($R85="")+($U85="")+($V85="")+(($W85="")*(RIGHT(LOWER($U85),4)=".pdf"))&gt;0),"Add file details",IF(AND($T85="Downloaded",LEN($X85)&lt;&gt;64),"Check SHA-256",IF(AND($Q85="",$R85=""),"Add a URL",IF($S85="No","Not official - replace",IF($M85="Not verified","Verify status","OK"))))))))</f>
        <v/>
      </c>
      <c r="AG85" s="21" t="inlineStr">
        <is>
          <t>Needs fix</t>
        </is>
      </c>
      <c r="AH85" s="21" t="inlineStr">
        <is>
          <t>Auto-QA 12-Oct-2026</t>
        </is>
      </c>
      <c r="AI85" s="21" t="inlineStr">
        <is>
          <t>1) Downloaded but missing: File Size (KB), SHA-256 Checksum, Version / Edition, Issued On, Pages. | 2) Set Current Status from the document (Current / Superseded ...).</t>
        </is>
      </c>
    </row>
    <row r="86" ht="14.25" customHeight="1" s="35">
      <c r="A86" s="21" t="inlineStr">
        <is>
          <t>S-082</t>
        </is>
      </c>
      <c r="B86" s="21" t="inlineStr">
        <is>
          <t>Intern B</t>
        </is>
      </c>
      <c r="C86" s="21" t="inlineStr">
        <is>
          <t>8. Sustainability &amp; Future Technology</t>
        </is>
      </c>
      <c r="D86" s="21" t="inlineStr">
        <is>
          <t>NIRF</t>
        </is>
      </c>
      <c r="E86" s="21" t="inlineStr">
        <is>
          <t>ranking</t>
        </is>
      </c>
      <c r="F86" s="21" t="inlineStr">
        <is>
          <t>Authoritative quality framework</t>
        </is>
      </c>
      <c r="G86" s="21" t="inlineStr">
        <is>
          <t>NIRF-004</t>
        </is>
      </c>
      <c r="H86" s="21" t="inlineStr">
        <is>
          <t>NIRF Sustainable Institution methodology</t>
        </is>
      </c>
      <c r="I86" s="21" t="inlineStr">
        <is>
          <t>Methodology</t>
        </is>
      </c>
      <c r="J86" s="21" t="n"/>
      <c r="K86" s="19" t="n"/>
      <c r="L86" s="19" t="n"/>
      <c r="M86" s="21" t="inlineStr">
        <is>
          <t>Not verified</t>
        </is>
      </c>
      <c r="N86" s="21" t="n"/>
      <c r="O86" s="21" t="n"/>
      <c r="P86" s="21" t="n"/>
      <c r="Q86" s="24" t="inlineStr">
        <is>
          <t>https://www.nirfindia.org/Home/Documents</t>
        </is>
      </c>
      <c r="R86" s="24" t="inlineStr">
        <is>
          <t>https://www.nirfindia.org/nirfpdfcdn/2025/pdf/Report/IR2025_Report.pdf</t>
        </is>
      </c>
      <c r="S86" s="21" t="inlineStr">
        <is>
          <t>Yes</t>
        </is>
      </c>
      <c r="T86" s="21" t="inlineStr">
        <is>
          <t>Downloaded</t>
        </is>
      </c>
      <c r="U86" s="20" t="inlineStr">
        <is>
          <t>https://drive.google.com/drive/folders/181nrl4suQzeNY7o_OTwpkqvrKSrrKbAw?usp=drive_link</t>
        </is>
      </c>
      <c r="V86" s="21" t="n"/>
      <c r="W86" s="21" t="n"/>
      <c r="X86" s="21" t="n"/>
      <c r="Y86" s="21" t="inlineStr">
        <is>
          <t>No</t>
        </is>
      </c>
      <c r="Z86" s="21" t="n">
        <v>12</v>
      </c>
      <c r="AA86" s="21" t="inlineStr">
        <is>
          <t>document_index</t>
        </is>
      </c>
      <c r="AB86" s="21" t="n"/>
      <c r="AC86" s="19" t="n"/>
      <c r="AD86" s="21" t="n"/>
      <c r="AE86" s="14" t="inlineStr">
        <is>
          <t>https://www.nirfindia.org/Home/Documents</t>
        </is>
      </c>
      <c r="AF86" s="21">
        <f>IF($H86="","",IF($T86="To find","Not started",IF(($C86="")+($D86="")+($E86="")+($G86="")+($I86="")+($M86="")+($O86="")+($S86="")&gt;0,"Missing basic details",IF(AND($T86="Downloaded",($R86="")+($U86="")+($V86="")+(($W86="")*(RIGHT(LOWER($U86),4)=".pdf"))&gt;0),"Add file details",IF(AND($T86="Downloaded",LEN($X86)&lt;&gt;64),"Check SHA-256",IF(AND($Q86="",$R86=""),"Add a URL",IF($S86="No","Not official - replace",IF($M86="Not verified","Verify status","OK"))))))))</f>
        <v/>
      </c>
      <c r="AG86" s="21" t="inlineStr">
        <is>
          <t>Needs fix</t>
        </is>
      </c>
      <c r="AH86" s="21" t="inlineStr">
        <is>
          <t>Auto-QA 12-Oct-2026</t>
        </is>
      </c>
      <c r="AI86" s="21" t="inlineStr">
        <is>
          <t>1) Drive link is a FOLDER - link the exact file (drive.google.com/file/d/...). | 2) Downloaded but missing: File Size (KB), SHA-256 Checksum, Version / Edition, Issued On. | 3) Set Current Status from the document (Current / Superseded ...). | 4) Fill "Applies To".</t>
        </is>
      </c>
    </row>
    <row r="87" ht="14.25" customHeight="1" s="35">
      <c r="A87" s="21" t="inlineStr">
        <is>
          <t>S-083</t>
        </is>
      </c>
      <c r="B87" s="21" t="inlineStr">
        <is>
          <t>Intern B</t>
        </is>
      </c>
      <c r="C87" s="21" t="inlineStr">
        <is>
          <t>8. Sustainability &amp; Future Technology</t>
        </is>
      </c>
      <c r="D87" s="21" t="inlineStr">
        <is>
          <t>Other (write in notes)</t>
        </is>
      </c>
      <c r="E87" s="21" t="inlineStr">
        <is>
          <t>government_policy</t>
        </is>
      </c>
      <c r="F87" s="21" t="inlineStr">
        <is>
          <t>Good-practice standard</t>
        </is>
      </c>
      <c r="G87" s="21" t="inlineStr">
        <is>
          <t>SUS-001</t>
        </is>
      </c>
      <c r="H87" s="21" t="inlineStr">
        <is>
          <t>Green campus, energy, water, waste and green-computing guidance (official sources)</t>
        </is>
      </c>
      <c r="I87" s="21" t="inlineStr">
        <is>
          <t>Guideline</t>
        </is>
      </c>
      <c r="J87" s="21" t="n"/>
      <c r="K87" s="19" t="n"/>
      <c r="L87" s="19" t="n"/>
      <c r="M87" s="21" t="inlineStr">
        <is>
          <t>Not verified</t>
        </is>
      </c>
      <c r="N87" s="21" t="n"/>
      <c r="O87" s="21" t="n"/>
      <c r="P87" s="21" t="n"/>
      <c r="Q87" s="24" t="inlineStr">
        <is>
          <t>https://beeindia.gov.in/</t>
        </is>
      </c>
      <c r="R87" s="24" t="inlineStr">
        <is>
          <t>https://beeindia.gov.in/WriteReadData/L45218/1734930710.pdf</t>
        </is>
      </c>
      <c r="S87" s="21" t="inlineStr">
        <is>
          <t>Yes</t>
        </is>
      </c>
      <c r="T87" s="21" t="inlineStr">
        <is>
          <t>Downloaded</t>
        </is>
      </c>
      <c r="U87" s="20" t="inlineStr">
        <is>
          <t>https://drive.google.com/file/d/1DxbgGtHG6Xd-S6SCC41GVahC2JITu2Yv/view?usp=drive_link</t>
        </is>
      </c>
      <c r="V87" s="21" t="n"/>
      <c r="W87" s="21" t="n"/>
      <c r="X87" s="21" t="n"/>
      <c r="Y87" s="21" t="inlineStr">
        <is>
          <t>No</t>
        </is>
      </c>
      <c r="Z87" s="21" t="n">
        <v>12</v>
      </c>
      <c r="AA87" s="21" t="inlineStr">
        <is>
          <t>web_page</t>
        </is>
      </c>
      <c r="AB87" s="21" t="n"/>
      <c r="AC87" s="19" t="n"/>
      <c r="AD87" s="21" t="inlineStr">
        <is>
          <t>Research task: official government / regulator sources only.</t>
        </is>
      </c>
      <c r="AE87" s="21" t="n"/>
      <c r="AF87" s="21">
        <f>IF($H87="","",IF($T87="To find","Not started",IF(($C87="")+($D87="")+($E87="")+($G87="")+($I87="")+($M87="")+($O87="")+($S87="")&gt;0,"Missing basic details",IF(AND($T87="Downloaded",($R87="")+($U87="")+($V87="")+(($W87="")*(RIGHT(LOWER($U87),4)=".pdf"))&gt;0),"Add file details",IF(AND($T87="Downloaded",LEN($X87)&lt;&gt;64),"Check SHA-256",IF(AND($Q87="",$R87=""),"Add a URL",IF($S87="No","Not official - replace",IF($M87="Not verified","Verify status","OK"))))))))</f>
        <v/>
      </c>
      <c r="AG87" s="21" t="inlineStr">
        <is>
          <t>Needs fix</t>
        </is>
      </c>
      <c r="AH87" s="21" t="inlineStr">
        <is>
          <t>Auto-QA 12-Oct-2026</t>
        </is>
      </c>
      <c r="AI87" s="21" t="inlineStr">
        <is>
          <t>1) Title is still the template placeholder - replace with the exact official title, one row per document (add rows for the others). | 2) Downloaded but missing: File Size (KB), SHA-256 Checksum, Version / Edition, Issued On, Pages. | 3) Set Current Status from the document (Current / Superseded ...). | 4) Fill "Applies To".</t>
        </is>
      </c>
    </row>
    <row r="88" ht="14.25" customHeight="1" s="35">
      <c r="A88" s="21" t="inlineStr">
        <is>
          <t>S-084</t>
        </is>
      </c>
      <c r="B88" s="21" t="inlineStr">
        <is>
          <t>Intern B</t>
        </is>
      </c>
      <c r="C88" s="21" t="inlineStr">
        <is>
          <t>8. Sustainability &amp; Future Technology</t>
        </is>
      </c>
      <c r="D88" s="21" t="inlineStr">
        <is>
          <t>DST</t>
        </is>
      </c>
      <c r="E88" s="21" t="inlineStr">
        <is>
          <t>government_policy</t>
        </is>
      </c>
      <c r="F88" s="21" t="inlineStr">
        <is>
          <t>Intelligence signal</t>
        </is>
      </c>
      <c r="G88" s="21" t="inlineStr">
        <is>
          <t>NQM-001</t>
        </is>
      </c>
      <c r="H88" s="21" t="inlineStr">
        <is>
          <t>National Quantum Mission materials</t>
        </is>
      </c>
      <c r="I88" s="21" t="inlineStr">
        <is>
          <t>Policy</t>
        </is>
      </c>
      <c r="J88" s="21" t="n"/>
      <c r="K88" s="19" t="n"/>
      <c r="L88" s="19" t="n"/>
      <c r="M88" s="21" t="inlineStr">
        <is>
          <t>Not verified</t>
        </is>
      </c>
      <c r="N88" s="21" t="n"/>
      <c r="O88" s="21" t="inlineStr">
        <is>
          <t>Indian institutions</t>
        </is>
      </c>
      <c r="P88" s="21" t="n"/>
      <c r="Q88" s="24" t="inlineStr">
        <is>
          <t>https://www.dst.gov.in/node/7836</t>
        </is>
      </c>
      <c r="R88" s="24" t="inlineStr">
        <is>
          <t>https://www.dst.gov.in/node/7836</t>
        </is>
      </c>
      <c r="S88" s="21" t="inlineStr">
        <is>
          <t>Yes</t>
        </is>
      </c>
      <c r="T88" s="21" t="inlineStr">
        <is>
          <t>Downloaded</t>
        </is>
      </c>
      <c r="U88" s="20" t="inlineStr">
        <is>
          <t>https://drive.google.com/drive/folders/1-60y-KXY6J6Rzjjf6PGWKb7L4DstYgbe?usp=drive_link</t>
        </is>
      </c>
      <c r="V88" s="21" t="n"/>
      <c r="W88" s="21" t="n"/>
      <c r="X88" s="21" t="n"/>
      <c r="Y88" s="21" t="inlineStr">
        <is>
          <t>No</t>
        </is>
      </c>
      <c r="Z88" s="21" t="n">
        <v>12</v>
      </c>
      <c r="AA88" s="21" t="inlineStr">
        <is>
          <t>web_page</t>
        </is>
      </c>
      <c r="AB88" s="21" t="n"/>
      <c r="AC88" s="19" t="n"/>
      <c r="AD88" s="21" t="n"/>
      <c r="AE88" s="14" t="inlineStr">
        <is>
          <t>https://dst.gov.in/national-quantum-mission-nqm</t>
        </is>
      </c>
      <c r="AF88" s="21">
        <f>IF($H88="","",IF($T88="To find","Not started",IF(($C88="")+($D88="")+($E88="")+($G88="")+($I88="")+($M88="")+($O88="")+($S88="")&gt;0,"Missing basic details",IF(AND($T88="Downloaded",($R88="")+($U88="")+($V88="")+(($W88="")*(RIGHT(LOWER($U88),4)=".pdf"))&gt;0),"Add file details",IF(AND($T88="Downloaded",LEN($X88)&lt;&gt;64),"Check SHA-256",IF(AND($Q88="",$R88=""),"Add a URL",IF($S88="No","Not official - replace",IF($M88="Not verified","Verify status","OK"))))))))</f>
        <v/>
      </c>
      <c r="AG88" s="21" t="inlineStr">
        <is>
          <t>Needs fix</t>
        </is>
      </c>
      <c r="AH88" s="21" t="inlineStr">
        <is>
          <t>Auto-QA 12-Oct-2026</t>
        </is>
      </c>
      <c r="AI88" s="21" t="inlineStr">
        <is>
          <t>1) Drive link is a FOLDER - link the exact file (drive.google.com/file/d/...). | 2) Downloaded but missing: File Size (KB), SHA-256 Checksum, Version / Edition, Issued On. | 3) Set Current Status from the document (Current / Superseded ...).</t>
        </is>
      </c>
    </row>
    <row r="89" ht="14.25" customHeight="1" s="35">
      <c r="A89" s="21" t="inlineStr">
        <is>
          <t>S-085</t>
        </is>
      </c>
      <c r="B89" s="21" t="inlineStr">
        <is>
          <t>Intern B</t>
        </is>
      </c>
      <c r="C89" s="21" t="inlineStr">
        <is>
          <t>8. Sustainability &amp; Future Technology</t>
        </is>
      </c>
      <c r="D89" s="21" t="inlineStr">
        <is>
          <t>W3C</t>
        </is>
      </c>
      <c r="E89" s="21" t="inlineStr">
        <is>
          <t>standards_body</t>
        </is>
      </c>
      <c r="F89" s="21" t="inlineStr">
        <is>
          <t>Good-practice standard</t>
        </is>
      </c>
      <c r="G89" s="21" t="inlineStr">
        <is>
          <t>TECH-001</t>
        </is>
      </c>
      <c r="H89" s="21" t="inlineStr">
        <is>
          <t>W3C Web Content Accessibility Guidelines (WCAG) - current version</t>
        </is>
      </c>
      <c r="I89" s="21" t="inlineStr">
        <is>
          <t>Standard</t>
        </is>
      </c>
      <c r="J89" s="21" t="n"/>
      <c r="K89" s="19" t="n"/>
      <c r="L89" s="19" t="n"/>
      <c r="M89" s="21" t="inlineStr">
        <is>
          <t>Not verified</t>
        </is>
      </c>
      <c r="N89" s="21" t="n"/>
      <c r="O89" s="21" t="n"/>
      <c r="P89" s="21" t="n"/>
      <c r="Q89" s="24" t="inlineStr">
        <is>
          <t>https://www.w3.org/TR/WCAG22/</t>
        </is>
      </c>
      <c r="R89" s="10" t="inlineStr">
        <is>
          <t>https://www.w3.org/TR/WCAG22/</t>
        </is>
      </c>
      <c r="S89" s="21" t="inlineStr">
        <is>
          <t>Yes</t>
        </is>
      </c>
      <c r="T89" s="21" t="inlineStr">
        <is>
          <t>Downloaded</t>
        </is>
      </c>
      <c r="U89" s="20" t="inlineStr">
        <is>
          <t>https://drive.google.com/file/d/1h9_mZycTBPqt3Yh8mfEfcAuP-mScNSWI/view?usp=drive_link</t>
        </is>
      </c>
      <c r="V89" s="21" t="n"/>
      <c r="W89" s="21" t="n"/>
      <c r="X89" s="21" t="n"/>
      <c r="Y89" s="21" t="inlineStr">
        <is>
          <t>No</t>
        </is>
      </c>
      <c r="Z89" s="21" t="n">
        <v>12</v>
      </c>
      <c r="AA89" s="21" t="inlineStr">
        <is>
          <t>web_page</t>
        </is>
      </c>
      <c r="AB89" s="21" t="n"/>
      <c r="AC89" s="19" t="n"/>
      <c r="AD89" s="21" t="n"/>
      <c r="AE89" s="14" t="inlineStr">
        <is>
          <t>https://www.w3.org/WAI/</t>
        </is>
      </c>
      <c r="AF89" s="21">
        <f>IF($H89="","",IF($T89="To find","Not started",IF(($C89="")+($D89="")+($E89="")+($G89="")+($I89="")+($M89="")+($O89="")+($S89="")&gt;0,"Missing basic details",IF(AND($T89="Downloaded",($R89="")+($U89="")+($V89="")+(($W89="")*(RIGHT(LOWER($U89),4)=".pdf"))&gt;0),"Add file details",IF(AND($T89="Downloaded",LEN($X89)&lt;&gt;64),"Check SHA-256",IF(AND($Q89="",$R89=""),"Add a URL",IF($S89="No","Not official - replace",IF($M89="Not verified","Verify status","OK"))))))))</f>
        <v/>
      </c>
      <c r="AG89" s="21" t="inlineStr">
        <is>
          <t>Needs fix</t>
        </is>
      </c>
      <c r="AH89" s="21" t="inlineStr">
        <is>
          <t>Auto-QA 12-Oct-2026</t>
        </is>
      </c>
      <c r="AI89" s="21" t="inlineStr">
        <is>
          <t>1) Downloaded but missing: File Size (KB), SHA-256 Checksum, Version / Edition, Issued On, Pages. | 2) Set Current Status from the document (Current / Superseded ...). | 3) Fill "Applies To".</t>
        </is>
      </c>
    </row>
    <row r="90" ht="14.25" customHeight="1" s="35">
      <c r="A90" s="21" t="inlineStr">
        <is>
          <t>S-086</t>
        </is>
      </c>
      <c r="B90" s="21" t="inlineStr">
        <is>
          <t>Intern B</t>
        </is>
      </c>
      <c r="C90" s="21" t="inlineStr">
        <is>
          <t>8. Sustainability &amp; Future Technology</t>
        </is>
      </c>
      <c r="D90" s="21" t="inlineStr">
        <is>
          <t>1EdTech</t>
        </is>
      </c>
      <c r="E90" s="21" t="inlineStr">
        <is>
          <t>standards_body</t>
        </is>
      </c>
      <c r="F90" s="21" t="inlineStr">
        <is>
          <t>Good-practice standard</t>
        </is>
      </c>
      <c r="G90" s="21" t="inlineStr">
        <is>
          <t>TECH-002</t>
        </is>
      </c>
      <c r="H90" s="21" t="inlineStr">
        <is>
          <t>Open Badges / digital-credential specification</t>
        </is>
      </c>
      <c r="I90" s="21" t="inlineStr">
        <is>
          <t>Standard</t>
        </is>
      </c>
      <c r="J90" s="21" t="n"/>
      <c r="K90" s="19" t="n"/>
      <c r="L90" s="19" t="n"/>
      <c r="M90" s="21" t="inlineStr">
        <is>
          <t>Not verified</t>
        </is>
      </c>
      <c r="N90" s="21" t="n"/>
      <c r="O90" s="21" t="n"/>
      <c r="P90" s="21" t="n"/>
      <c r="Q90" s="24" t="inlineStr">
        <is>
          <t>https://www.imsglobal.org/spec/ob/v3p0/</t>
        </is>
      </c>
      <c r="R90" s="24" t="inlineStr">
        <is>
          <t>https://www.imsglobal.org/spec/ob/v3p0/</t>
        </is>
      </c>
      <c r="S90" s="21" t="inlineStr">
        <is>
          <t>Yes</t>
        </is>
      </c>
      <c r="T90" s="21" t="inlineStr">
        <is>
          <t>Downloaded</t>
        </is>
      </c>
      <c r="U90" s="20" t="inlineStr">
        <is>
          <t>https://drive.google.com/file/d/1uLWpJnjEnr3UdNXkrN25jJReXkfocHE_/view?usp=drive_link</t>
        </is>
      </c>
      <c r="V90" s="21" t="n"/>
      <c r="W90" s="21" t="n"/>
      <c r="X90" s="21" t="n"/>
      <c r="Y90" s="21" t="inlineStr">
        <is>
          <t>No</t>
        </is>
      </c>
      <c r="Z90" s="21" t="n">
        <v>12</v>
      </c>
      <c r="AA90" s="21" t="inlineStr">
        <is>
          <t>web_page</t>
        </is>
      </c>
      <c r="AB90" s="21" t="n"/>
      <c r="AC90" s="19" t="n"/>
      <c r="AD90" s="21" t="n"/>
      <c r="AE90" s="14" t="inlineStr">
        <is>
          <t>https://www.1edtech.org/</t>
        </is>
      </c>
      <c r="AF90" s="21">
        <f>IF($H90="","",IF($T90="To find","Not started",IF(($C90="")+($D90="")+($E90="")+($G90="")+($I90="")+($M90="")+($O90="")+($S90="")&gt;0,"Missing basic details",IF(AND($T90="Downloaded",($R90="")+($U90="")+($V90="")+(($W90="")*(RIGHT(LOWER($U90),4)=".pdf"))&gt;0),"Add file details",IF(AND($T90="Downloaded",LEN($X90)&lt;&gt;64),"Check SHA-256",IF(AND($Q90="",$R90=""),"Add a URL",IF($S90="No","Not official - replace",IF($M90="Not verified","Verify status","OK"))))))))</f>
        <v/>
      </c>
      <c r="AG90" s="21" t="inlineStr">
        <is>
          <t>Needs fix</t>
        </is>
      </c>
      <c r="AH90" s="21" t="inlineStr">
        <is>
          <t>Auto-QA 12-Oct-2026</t>
        </is>
      </c>
      <c r="AI90" s="21" t="inlineStr">
        <is>
          <t>1) Downloaded but missing: File Size (KB), SHA-256 Checksum, Version / Edition, Issued On, Pages. | 2) Set Current Status from the document (Current / Superseded ...). | 3) Fill "Applies To".</t>
        </is>
      </c>
    </row>
    <row r="91" ht="14.25" customHeight="1" s="35">
      <c r="A91" s="21" t="inlineStr">
        <is>
          <t>S-087</t>
        </is>
      </c>
      <c r="B91" s="21" t="inlineStr">
        <is>
          <t>Intern B</t>
        </is>
      </c>
      <c r="C91" s="21" t="inlineStr">
        <is>
          <t>8. Sustainability &amp; Future Technology</t>
        </is>
      </c>
      <c r="D91" s="21" t="inlineStr">
        <is>
          <t>1EdTech</t>
        </is>
      </c>
      <c r="E91" s="21" t="inlineStr">
        <is>
          <t>standards_body</t>
        </is>
      </c>
      <c r="F91" s="21" t="inlineStr">
        <is>
          <t>Good-practice standard</t>
        </is>
      </c>
      <c r="G91" s="21" t="inlineStr">
        <is>
          <t>TECH-003</t>
        </is>
      </c>
      <c r="H91" s="21" t="inlineStr">
        <is>
          <t>Learning Tools Interoperability (LTI) specification</t>
        </is>
      </c>
      <c r="I91" s="21" t="inlineStr">
        <is>
          <t>Standard</t>
        </is>
      </c>
      <c r="J91" s="21" t="n"/>
      <c r="K91" s="19" t="n"/>
      <c r="L91" s="19" t="n"/>
      <c r="M91" s="21" t="inlineStr">
        <is>
          <t>Not verified</t>
        </is>
      </c>
      <c r="N91" s="21" t="n"/>
      <c r="O91" s="21" t="n"/>
      <c r="P91" s="21" t="n"/>
      <c r="Q91" s="24" t="inlineStr">
        <is>
          <t>https://www.imsglobal.org/spec/lti/v1p3/</t>
        </is>
      </c>
      <c r="R91" s="24" t="inlineStr">
        <is>
          <t>https://www.imsglobal.org/spec/lti/v1p3/</t>
        </is>
      </c>
      <c r="S91" s="21" t="inlineStr">
        <is>
          <t>Yes</t>
        </is>
      </c>
      <c r="T91" s="21" t="inlineStr">
        <is>
          <t>Downloaded</t>
        </is>
      </c>
      <c r="U91" s="24" t="inlineStr">
        <is>
          <t>https://drive.google.com/file/d/16IaLyXz5imY4fKaap3oZPjYGsJGc4thp/view?usp=drive_link</t>
        </is>
      </c>
      <c r="V91" s="21" t="n"/>
      <c r="W91" s="21" t="n"/>
      <c r="X91" s="21" t="n"/>
      <c r="Y91" s="21" t="inlineStr">
        <is>
          <t>No</t>
        </is>
      </c>
      <c r="Z91" s="21" t="n">
        <v>12</v>
      </c>
      <c r="AA91" s="21" t="inlineStr">
        <is>
          <t>web_page</t>
        </is>
      </c>
      <c r="AB91" s="21" t="n"/>
      <c r="AC91" s="19" t="n"/>
      <c r="AD91" s="21" t="n"/>
      <c r="AE91" s="14" t="inlineStr">
        <is>
          <t>https://www.1edtech.org/</t>
        </is>
      </c>
      <c r="AF91" s="21">
        <f>IF($H91="","",IF($T91="To find","Not started",IF(($C91="")+($D91="")+($E91="")+($G91="")+($I91="")+($M91="")+($O91="")+($S91="")&gt;0,"Missing basic details",IF(AND($T91="Downloaded",($R91="")+($U91="")+($V91="")+(($W91="")*(RIGHT(LOWER($U91),4)=".pdf"))&gt;0),"Add file details",IF(AND($T91="Downloaded",LEN($X91)&lt;&gt;64),"Check SHA-256",IF(AND($Q91="",$R91=""),"Add a URL",IF($S91="No","Not official - replace",IF($M91="Not verified","Verify status","OK"))))))))</f>
        <v/>
      </c>
      <c r="AG91" s="21" t="inlineStr">
        <is>
          <t>Needs fix</t>
        </is>
      </c>
      <c r="AH91" s="21" t="inlineStr">
        <is>
          <t>Auto-QA 12-Oct-2026</t>
        </is>
      </c>
      <c r="AI91" s="21" t="inlineStr">
        <is>
          <t>1) Downloaded but missing: File Size (KB), SHA-256 Checksum, Version / Edition, Issued On, Pages. | 2) Set Current Status from the document (Current / Superseded ...). | 3) Fill "Applies To".</t>
        </is>
      </c>
    </row>
    <row r="92" ht="14.25" customHeight="1" s="35">
      <c r="A92" s="21" t="inlineStr">
        <is>
          <t>S-088</t>
        </is>
      </c>
      <c r="B92" s="21" t="inlineStr">
        <is>
          <t>Intern B</t>
        </is>
      </c>
      <c r="C92" s="21" t="inlineStr">
        <is>
          <t>8. Sustainability &amp; Future Technology</t>
        </is>
      </c>
      <c r="D92" s="21" t="inlineStr">
        <is>
          <t>Khronos Group</t>
        </is>
      </c>
      <c r="E92" s="21" t="inlineStr">
        <is>
          <t>standards_body</t>
        </is>
      </c>
      <c r="F92" s="21" t="inlineStr">
        <is>
          <t>Good-practice standard</t>
        </is>
      </c>
      <c r="G92" s="21" t="inlineStr">
        <is>
          <t>TECH-004</t>
        </is>
      </c>
      <c r="H92" s="21" t="inlineStr">
        <is>
          <t>OpenXR specification</t>
        </is>
      </c>
      <c r="I92" s="21" t="inlineStr">
        <is>
          <t>Standard</t>
        </is>
      </c>
      <c r="J92" s="21" t="n"/>
      <c r="K92" s="19" t="n"/>
      <c r="L92" s="19" t="n"/>
      <c r="M92" s="21" t="inlineStr">
        <is>
          <t>Not verified</t>
        </is>
      </c>
      <c r="N92" s="21" t="n"/>
      <c r="O92" s="21" t="n"/>
      <c r="P92" s="21" t="n"/>
      <c r="Q92" s="20" t="inlineStr">
        <is>
          <t>https://www.khronos.org/search/?cx=017055583490642512057%3A_ak1bpok_no&amp;cof=FORID%3A9&amp;q=OpenXR+specification#gsc.tab=0&amp;gsc.q=OpenXR%20specification&amp;gsc.page=1</t>
        </is>
      </c>
      <c r="R92" s="20" t="inlineStr">
        <is>
          <t>https://registry.khronos.org/OpenXR/specs/1.1/html/xrspec.html</t>
        </is>
      </c>
      <c r="S92" s="21" t="inlineStr">
        <is>
          <t>Yes</t>
        </is>
      </c>
      <c r="T92" s="21" t="inlineStr">
        <is>
          <t>Downloaded</t>
        </is>
      </c>
      <c r="U92" s="20" t="inlineStr">
        <is>
          <t>https://drive.google.com/file/d/1nEubkFeLM-z94SwhgM_m1yh67kQFWnME/view?usp=drive_link</t>
        </is>
      </c>
      <c r="V92" s="21" t="n"/>
      <c r="W92" s="21" t="n"/>
      <c r="X92" s="21" t="n"/>
      <c r="Y92" s="21" t="inlineStr">
        <is>
          <t>No</t>
        </is>
      </c>
      <c r="Z92" s="21" t="n">
        <v>12</v>
      </c>
      <c r="AA92" s="21" t="inlineStr">
        <is>
          <t>web_page</t>
        </is>
      </c>
      <c r="AB92" s="21" t="n"/>
      <c r="AC92" s="19" t="n"/>
      <c r="AD92" s="21" t="n"/>
      <c r="AE92" s="14" t="inlineStr">
        <is>
          <t>https://www.khronos.org/openxr/</t>
        </is>
      </c>
      <c r="AF92" s="21">
        <f>IF($H92="","",IF($T92="To find","Not started",IF(($C92="")+($D92="")+($E92="")+($G92="")+($I92="")+($M92="")+($O92="")+($S92="")&gt;0,"Missing basic details",IF(AND($T92="Downloaded",($R92="")+($U92="")+($V92="")+(($W92="")*(RIGHT(LOWER($U92),4)=".pdf"))&gt;0),"Add file details",IF(AND($T92="Downloaded",LEN($X92)&lt;&gt;64),"Check SHA-256",IF(AND($Q92="",$R92=""),"Add a URL",IF($S92="No","Not official - replace",IF($M92="Not verified","Verify status","OK"))))))))</f>
        <v/>
      </c>
      <c r="AG92" s="21" t="inlineStr">
        <is>
          <t>Needs fix</t>
        </is>
      </c>
      <c r="AH92" s="21" t="inlineStr">
        <is>
          <t>Auto-QA 12-Oct-2026</t>
        </is>
      </c>
      <c r="AI92" s="21" t="inlineStr">
        <is>
          <t>1) Downloaded but missing: File Size (KB), SHA-256 Checksum, Version / Edition, Issued On, Pages. | 2) Set Current Status from the document (Current / Superseded ...). | 3) Fill "Applies To".</t>
        </is>
      </c>
    </row>
    <row r="93" ht="14.25" customHeight="1" s="35">
      <c r="A93" s="21" t="inlineStr">
        <is>
          <t>S-089</t>
        </is>
      </c>
      <c r="B93" s="21" t="inlineStr">
        <is>
          <t>Intern B</t>
        </is>
      </c>
      <c r="C93" s="21" t="inlineStr">
        <is>
          <t>8. Sustainability &amp; Future Technology</t>
        </is>
      </c>
      <c r="D93" s="21" t="inlineStr">
        <is>
          <t>Other (write in notes)</t>
        </is>
      </c>
      <c r="E93" s="21" t="inlineStr">
        <is>
          <t>ingage_proposed</t>
        </is>
      </c>
      <c r="F93" s="21" t="inlineStr">
        <is>
          <t>Intelligence signal</t>
        </is>
      </c>
      <c r="G93" s="21" t="inlineStr">
        <is>
          <t>TECH-005</t>
        </is>
      </c>
      <c r="H93" s="21" t="inlineStr">
        <is>
          <t>Emerging-technology roadmaps (XR, robotics, IoT, digital twins, blockchain, AI agents)</t>
        </is>
      </c>
      <c r="I93" s="21" t="inlineStr">
        <is>
          <t>Dataset / Report</t>
        </is>
      </c>
      <c r="J93" s="21" t="n"/>
      <c r="K93" s="19" t="n"/>
      <c r="L93" s="19" t="n"/>
      <c r="M93" s="21" t="inlineStr">
        <is>
          <t>Not verified</t>
        </is>
      </c>
      <c r="N93" s="21" t="n"/>
      <c r="O93" s="21" t="n"/>
      <c r="P93" s="21" t="n"/>
      <c r="Q93" s="21" t="n"/>
      <c r="R93" s="21" t="n"/>
      <c r="S93" s="21" t="n"/>
      <c r="T93" s="21" t="inlineStr">
        <is>
          <t>To find</t>
        </is>
      </c>
      <c r="U93" s="21" t="n"/>
      <c r="V93" s="21" t="n"/>
      <c r="W93" s="21" t="n"/>
      <c r="X93" s="21" t="n"/>
      <c r="Y93" s="21" t="inlineStr">
        <is>
          <t>No</t>
        </is>
      </c>
      <c r="Z93" s="21" t="n">
        <v>6</v>
      </c>
      <c r="AA93" s="21" t="inlineStr">
        <is>
          <t>web_page</t>
        </is>
      </c>
      <c r="AB93" s="21" t="n"/>
      <c r="AC93" s="19" t="n"/>
      <c r="AD93" s="21" t="inlineStr">
        <is>
          <t>Intelligence signal only - official missions and major standards bodies. Ask your supervisor before adding industry reports.</t>
        </is>
      </c>
      <c r="AE93" s="21" t="n"/>
      <c r="AF93" s="21">
        <f>IF($H93="","",IF($T93="To find","Not started",IF(($C93="")+($D93="")+($E93="")+($G93="")+($I93="")+($M93="")+($O93="")+($S93="")&gt;0,"Missing basic details",IF(AND($T93="Downloaded",($R93="")+($U93="")+($V93="")+(($W93="")*(RIGHT(LOWER($U93),4)=".pdf"))&gt;0),"Add file details",IF(AND($T93="Downloaded",LEN($X93)&lt;&gt;64),"Check SHA-256",IF(AND($Q93="",$R93=""),"Add a URL",IF($S93="No","Not official - replace",IF($M93="Not verified","Verify status","OK"))))))))</f>
        <v/>
      </c>
      <c r="AG93" s="21" t="inlineStr">
        <is>
          <t>Needs fix</t>
        </is>
      </c>
      <c r="AH93" s="21" t="inlineStr">
        <is>
          <t>Auto-QA 12-Oct-2026</t>
        </is>
      </c>
      <c r="AI93" s="21" t="inlineStr">
        <is>
          <t>1) Title is still the template placeholder - replace with the exact official title, one row per document (add rows for the others). | 2) Fill "Applies To".</t>
        </is>
      </c>
    </row>
    <row r="94" ht="14.25" customHeight="1" s="35">
      <c r="A94" s="21" t="inlineStr">
        <is>
          <t>S-090</t>
        </is>
      </c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19" t="n"/>
      <c r="L94" s="19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19" t="n"/>
      <c r="AD94" s="21" t="n"/>
      <c r="AE94" s="21" t="n"/>
      <c r="AF94" s="21">
        <f>IF($H94="","",IF($T94="To find","Not started",IF(($C94="")+($D94="")+($E94="")+($G94="")+($I94="")+($M94="")+($O94="")+($S94="")&gt;0,"Missing basic details",IF(AND($T94="Downloaded",($R94="")+($U94="")+($V94="")+(($W94="")*(RIGHT(LOWER($U94),4)=".pdf"))&gt;0),"Add file details",IF(AND($T94="Downloaded",LEN($X94)&lt;&gt;64),"Check SHA-256",IF(AND($Q94="",$R94=""),"Add a URL",IF($S94="No","Not official - replace",IF($M94="Not verified","Verify status","OK"))))))))</f>
        <v/>
      </c>
      <c r="AG94" s="21" t="n"/>
      <c r="AH94" s="21" t="n"/>
      <c r="AI94" s="21" t="n"/>
    </row>
    <row r="95" ht="14.25" customHeight="1" s="35">
      <c r="A95" s="21" t="inlineStr">
        <is>
          <t>S-091</t>
        </is>
      </c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19" t="n"/>
      <c r="L95" s="19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19" t="n"/>
      <c r="AD95" s="21" t="n"/>
      <c r="AE95" s="21" t="n"/>
      <c r="AF95" s="21">
        <f>IF($H95="","",IF($T95="To find","Not started",IF(($C95="")+($D95="")+($E95="")+($G95="")+($I95="")+($M95="")+($O95="")+($S95="")&gt;0,"Missing basic details",IF(AND($T95="Downloaded",($R95="")+($U95="")+($V95="")+(($W95="")*(RIGHT(LOWER($U95),4)=".pdf"))&gt;0),"Add file details",IF(AND($T95="Downloaded",LEN($X95)&lt;&gt;64),"Check SHA-256",IF(AND($Q95="",$R95=""),"Add a URL",IF($S95="No","Not official - replace",IF($M95="Not verified","Verify status","OK"))))))))</f>
        <v/>
      </c>
      <c r="AG95" s="21" t="n"/>
      <c r="AH95" s="21" t="n"/>
      <c r="AI95" s="21" t="n"/>
    </row>
    <row r="96" ht="14.25" customHeight="1" s="35">
      <c r="A96" s="21" t="inlineStr">
        <is>
          <t>S-092</t>
        </is>
      </c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19" t="n"/>
      <c r="L96" s="19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19" t="n"/>
      <c r="AD96" s="21" t="n"/>
      <c r="AE96" s="21" t="n"/>
      <c r="AF96" s="21">
        <f>IF($H96="","",IF($T96="To find","Not started",IF(($C96="")+($D96="")+($E96="")+($G96="")+($I96="")+($M96="")+($O96="")+($S96="")&gt;0,"Missing basic details",IF(AND($T96="Downloaded",($R96="")+($U96="")+($V96="")+(($W96="")*(RIGHT(LOWER($U96),4)=".pdf"))&gt;0),"Add file details",IF(AND($T96="Downloaded",LEN($X96)&lt;&gt;64),"Check SHA-256",IF(AND($Q96="",$R96=""),"Add a URL",IF($S96="No","Not official - replace",IF($M96="Not verified","Verify status","OK"))))))))</f>
        <v/>
      </c>
      <c r="AG96" s="21" t="n"/>
      <c r="AH96" s="21" t="n"/>
      <c r="AI96" s="21" t="n"/>
    </row>
    <row r="97" ht="14.25" customHeight="1" s="35">
      <c r="A97" s="21" t="inlineStr">
        <is>
          <t>S-093</t>
        </is>
      </c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19" t="n"/>
      <c r="L97" s="19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19" t="n"/>
      <c r="AD97" s="21" t="n"/>
      <c r="AE97" s="21" t="n"/>
      <c r="AF97" s="21">
        <f>IF($H97="","",IF($T97="To find","Not started",IF(($C97="")+($D97="")+($E97="")+($G97="")+($I97="")+($M97="")+($O97="")+($S97="")&gt;0,"Missing basic details",IF(AND($T97="Downloaded",($R97="")+($U97="")+($V97="")+(($W97="")*(RIGHT(LOWER($U97),4)=".pdf"))&gt;0),"Add file details",IF(AND($T97="Downloaded",LEN($X97)&lt;&gt;64),"Check SHA-256",IF(AND($Q97="",$R97=""),"Add a URL",IF($S97="No","Not official - replace",IF($M97="Not verified","Verify status","OK"))))))))</f>
        <v/>
      </c>
      <c r="AG97" s="21" t="n"/>
      <c r="AH97" s="21" t="n"/>
      <c r="AI97" s="21" t="n"/>
    </row>
    <row r="98" ht="14.25" customHeight="1" s="35">
      <c r="A98" s="21" t="inlineStr">
        <is>
          <t>S-094</t>
        </is>
      </c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19" t="n"/>
      <c r="L98" s="19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19" t="n"/>
      <c r="AD98" s="21" t="n"/>
      <c r="AE98" s="21" t="n"/>
      <c r="AF98" s="21">
        <f>IF($H98="","",IF($T98="To find","Not started",IF(($C98="")+($D98="")+($E98="")+($G98="")+($I98="")+($M98="")+($O98="")+($S98="")&gt;0,"Missing basic details",IF(AND($T98="Downloaded",($R98="")+($U98="")+($V98="")+(($W98="")*(RIGHT(LOWER($U98),4)=".pdf"))&gt;0),"Add file details",IF(AND($T98="Downloaded",LEN($X98)&lt;&gt;64),"Check SHA-256",IF(AND($Q98="",$R98=""),"Add a URL",IF($S98="No","Not official - replace",IF($M98="Not verified","Verify status","OK"))))))))</f>
        <v/>
      </c>
      <c r="AG98" s="21" t="n"/>
      <c r="AH98" s="21" t="n"/>
      <c r="AI98" s="21" t="n"/>
    </row>
    <row r="99" ht="14.25" customHeight="1" s="35">
      <c r="A99" s="21" t="inlineStr">
        <is>
          <t>S-095</t>
        </is>
      </c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19" t="n"/>
      <c r="L99" s="19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19" t="n"/>
      <c r="AD99" s="21" t="n"/>
      <c r="AE99" s="21" t="n"/>
      <c r="AF99" s="21">
        <f>IF($H99="","",IF($T99="To find","Not started",IF(($C99="")+($D99="")+($E99="")+($G99="")+($I99="")+($M99="")+($O99="")+($S99="")&gt;0,"Missing basic details",IF(AND($T99="Downloaded",($R99="")+($U99="")+($V99="")+(($W99="")*(RIGHT(LOWER($U99),4)=".pdf"))&gt;0),"Add file details",IF(AND($T99="Downloaded",LEN($X99)&lt;&gt;64),"Check SHA-256",IF(AND($Q99="",$R99=""),"Add a URL",IF($S99="No","Not official - replace",IF($M99="Not verified","Verify status","OK"))))))))</f>
        <v/>
      </c>
      <c r="AG99" s="21" t="n"/>
      <c r="AH99" s="21" t="n"/>
      <c r="AI99" s="21" t="n"/>
    </row>
    <row r="100" ht="14.25" customHeight="1" s="35">
      <c r="A100" s="21" t="inlineStr">
        <is>
          <t>S-096</t>
        </is>
      </c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19" t="n"/>
      <c r="L100" s="19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19" t="n"/>
      <c r="AD100" s="21" t="n"/>
      <c r="AE100" s="21" t="n"/>
      <c r="AF100" s="21">
        <f>IF($H100="","",IF($T100="To find","Not started",IF(($C100="")+($D100="")+($E100="")+($G100="")+($I100="")+($M100="")+($O100="")+($S100="")&gt;0,"Missing basic details",IF(AND($T100="Downloaded",($R100="")+($U100="")+($V100="")+(($W100="")*(RIGHT(LOWER($U100),4)=".pdf"))&gt;0),"Add file details",IF(AND($T100="Downloaded",LEN($X100)&lt;&gt;64),"Check SHA-256",IF(AND($Q100="",$R100=""),"Add a URL",IF($S100="No","Not official - replace",IF($M100="Not verified","Verify status","OK"))))))))</f>
        <v/>
      </c>
      <c r="AG100" s="21" t="n"/>
      <c r="AH100" s="21" t="n"/>
      <c r="AI100" s="21" t="n"/>
    </row>
    <row r="101" ht="14.25" customHeight="1" s="35">
      <c r="A101" s="21" t="inlineStr">
        <is>
          <t>S-097</t>
        </is>
      </c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19" t="n"/>
      <c r="L101" s="19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19" t="n"/>
      <c r="AD101" s="21" t="n"/>
      <c r="AE101" s="21" t="n"/>
      <c r="AF101" s="21">
        <f>IF($H101="","",IF($T101="To find","Not started",IF(($C101="")+($D101="")+($E101="")+($G101="")+($I101="")+($M101="")+($O101="")+($S101="")&gt;0,"Missing basic details",IF(AND($T101="Downloaded",($R101="")+($U101="")+($V101="")+(($W101="")*(RIGHT(LOWER($U101),4)=".pdf"))&gt;0),"Add file details",IF(AND($T101="Downloaded",LEN($X101)&lt;&gt;64),"Check SHA-256",IF(AND($Q101="",$R101=""),"Add a URL",IF($S101="No","Not official - replace",IF($M101="Not verified","Verify status","OK"))))))))</f>
        <v/>
      </c>
      <c r="AG101" s="21" t="n"/>
      <c r="AH101" s="21" t="n"/>
      <c r="AI101" s="21" t="n"/>
    </row>
    <row r="102" ht="14.25" customHeight="1" s="35">
      <c r="A102" s="21" t="inlineStr">
        <is>
          <t>S-098</t>
        </is>
      </c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19" t="n"/>
      <c r="L102" s="19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19" t="n"/>
      <c r="AD102" s="21" t="n"/>
      <c r="AE102" s="21" t="n"/>
      <c r="AF102" s="21">
        <f>IF($H102="","",IF($T102="To find","Not started",IF(($C102="")+($D102="")+($E102="")+($G102="")+($I102="")+($M102="")+($O102="")+($S102="")&gt;0,"Missing basic details",IF(AND($T102="Downloaded",($R102="")+($U102="")+($V102="")+(($W102="")*(RIGHT(LOWER($U102),4)=".pdf"))&gt;0),"Add file details",IF(AND($T102="Downloaded",LEN($X102)&lt;&gt;64),"Check SHA-256",IF(AND($Q102="",$R102=""),"Add a URL",IF($S102="No","Not official - replace",IF($M102="Not verified","Verify status","OK"))))))))</f>
        <v/>
      </c>
      <c r="AG102" s="21" t="n"/>
      <c r="AH102" s="21" t="n"/>
      <c r="AI102" s="21" t="n"/>
    </row>
    <row r="103" ht="14.25" customHeight="1" s="35">
      <c r="A103" s="21" t="inlineStr">
        <is>
          <t>S-099</t>
        </is>
      </c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19" t="n"/>
      <c r="L103" s="19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19" t="n"/>
      <c r="AD103" s="21" t="n"/>
      <c r="AE103" s="21" t="n"/>
      <c r="AF103" s="21">
        <f>IF($H103="","",IF($T103="To find","Not started",IF(($C103="")+($D103="")+($E103="")+($G103="")+($I103="")+($M103="")+($O103="")+($S103="")&gt;0,"Missing basic details",IF(AND($T103="Downloaded",($R103="")+($U103="")+($V103="")+(($W103="")*(RIGHT(LOWER($U103),4)=".pdf"))&gt;0),"Add file details",IF(AND($T103="Downloaded",LEN($X103)&lt;&gt;64),"Check SHA-256",IF(AND($Q103="",$R103=""),"Add a URL",IF($S103="No","Not official - replace",IF($M103="Not verified","Verify status","OK"))))))))</f>
        <v/>
      </c>
      <c r="AG103" s="21" t="n"/>
      <c r="AH103" s="21" t="n"/>
      <c r="AI103" s="21" t="n"/>
    </row>
    <row r="104" ht="14.25" customHeight="1" s="35">
      <c r="A104" s="21" t="inlineStr">
        <is>
          <t>S-100</t>
        </is>
      </c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19" t="n"/>
      <c r="L104" s="19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19" t="n"/>
      <c r="AD104" s="21" t="n"/>
      <c r="AE104" s="21" t="n"/>
      <c r="AF104" s="21">
        <f>IF($H104="","",IF($T104="To find","Not started",IF(($C104="")+($D104="")+($E104="")+($G104="")+($I104="")+($M104="")+($O104="")+($S104="")&gt;0,"Missing basic details",IF(AND($T104="Downloaded",($R104="")+($U104="")+($V104="")+(($W104="")*(RIGHT(LOWER($U104),4)=".pdf"))&gt;0),"Add file details",IF(AND($T104="Downloaded",LEN($X104)&lt;&gt;64),"Check SHA-256",IF(AND($Q104="",$R104=""),"Add a URL",IF($S104="No","Not official - replace",IF($M104="Not verified","Verify status","OK"))))))))</f>
        <v/>
      </c>
      <c r="AG104" s="21" t="n"/>
      <c r="AH104" s="21" t="n"/>
      <c r="AI104" s="21" t="n"/>
    </row>
    <row r="105" ht="14.25" customHeight="1" s="35">
      <c r="A105" s="21" t="inlineStr">
        <is>
          <t>S-101</t>
        </is>
      </c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19" t="n"/>
      <c r="L105" s="19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19" t="n"/>
      <c r="AD105" s="21" t="n"/>
      <c r="AE105" s="21" t="n"/>
      <c r="AF105" s="21">
        <f>IF($H105="","",IF($T105="To find","Not started",IF(($C105="")+($D105="")+($E105="")+($G105="")+($I105="")+($M105="")+($O105="")+($S105="")&gt;0,"Missing basic details",IF(AND($T105="Downloaded",($R105="")+($U105="")+($V105="")+(($W105="")*(RIGHT(LOWER($U105),4)=".pdf"))&gt;0),"Add file details",IF(AND($T105="Downloaded",LEN($X105)&lt;&gt;64),"Check SHA-256",IF(AND($Q105="",$R105=""),"Add a URL",IF($S105="No","Not official - replace",IF($M105="Not verified","Verify status","OK"))))))))</f>
        <v/>
      </c>
      <c r="AG105" s="21" t="n"/>
      <c r="AH105" s="21" t="n"/>
      <c r="AI105" s="21" t="n"/>
    </row>
    <row r="106" ht="14.25" customHeight="1" s="35">
      <c r="A106" s="21" t="inlineStr">
        <is>
          <t>S-102</t>
        </is>
      </c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19" t="n"/>
      <c r="L106" s="19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19" t="n"/>
      <c r="AD106" s="21" t="n"/>
      <c r="AE106" s="21" t="n"/>
      <c r="AF106" s="21">
        <f>IF($H106="","",IF($T106="To find","Not started",IF(($C106="")+($D106="")+($E106="")+($G106="")+($I106="")+($M106="")+($O106="")+($S106="")&gt;0,"Missing basic details",IF(AND($T106="Downloaded",($R106="")+($U106="")+($V106="")+(($W106="")*(RIGHT(LOWER($U106),4)=".pdf"))&gt;0),"Add file details",IF(AND($T106="Downloaded",LEN($X106)&lt;&gt;64),"Check SHA-256",IF(AND($Q106="",$R106=""),"Add a URL",IF($S106="No","Not official - replace",IF($M106="Not verified","Verify status","OK"))))))))</f>
        <v/>
      </c>
      <c r="AG106" s="21" t="n"/>
      <c r="AH106" s="21" t="n"/>
      <c r="AI106" s="21" t="n"/>
    </row>
    <row r="107" ht="14.25" customHeight="1" s="35">
      <c r="A107" s="21" t="inlineStr">
        <is>
          <t>S-103</t>
        </is>
      </c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19" t="n"/>
      <c r="L107" s="19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19" t="n"/>
      <c r="AD107" s="21" t="n"/>
      <c r="AE107" s="21" t="n"/>
      <c r="AF107" s="21">
        <f>IF($H107="","",IF($T107="To find","Not started",IF(($C107="")+($D107="")+($E107="")+($G107="")+($I107="")+($M107="")+($O107="")+($S107="")&gt;0,"Missing basic details",IF(AND($T107="Downloaded",($R107="")+($U107="")+($V107="")+(($W107="")*(RIGHT(LOWER($U107),4)=".pdf"))&gt;0),"Add file details",IF(AND($T107="Downloaded",LEN($X107)&lt;&gt;64),"Check SHA-256",IF(AND($Q107="",$R107=""),"Add a URL",IF($S107="No","Not official - replace",IF($M107="Not verified","Verify status","OK"))))))))</f>
        <v/>
      </c>
      <c r="AG107" s="21" t="n"/>
      <c r="AH107" s="21" t="n"/>
      <c r="AI107" s="21" t="n"/>
    </row>
    <row r="108" ht="14.25" customHeight="1" s="35">
      <c r="A108" s="21" t="inlineStr">
        <is>
          <t>S-104</t>
        </is>
      </c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19" t="n"/>
      <c r="L108" s="19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19" t="n"/>
      <c r="AD108" s="21" t="n"/>
      <c r="AE108" s="21" t="n"/>
      <c r="AF108" s="21">
        <f>IF($H108="","",IF($T108="To find","Not started",IF(($C108="")+($D108="")+($E108="")+($G108="")+($I108="")+($M108="")+($O108="")+($S108="")&gt;0,"Missing basic details",IF(AND($T108="Downloaded",($R108="")+($U108="")+($V108="")+(($W108="")*(RIGHT(LOWER($U108),4)=".pdf"))&gt;0),"Add file details",IF(AND($T108="Downloaded",LEN($X108)&lt;&gt;64),"Check SHA-256",IF(AND($Q108="",$R108=""),"Add a URL",IF($S108="No","Not official - replace",IF($M108="Not verified","Verify status","OK"))))))))</f>
        <v/>
      </c>
      <c r="AG108" s="21" t="n"/>
      <c r="AH108" s="21" t="n"/>
      <c r="AI108" s="21" t="n"/>
    </row>
    <row r="109" ht="14.25" customHeight="1" s="35">
      <c r="A109" s="21" t="inlineStr">
        <is>
          <t>S-105</t>
        </is>
      </c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19" t="n"/>
      <c r="L109" s="19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19" t="n"/>
      <c r="AD109" s="21" t="n"/>
      <c r="AE109" s="21" t="n"/>
      <c r="AF109" s="21">
        <f>IF($H109="","",IF($T109="To find","Not started",IF(($C109="")+($D109="")+($E109="")+($G109="")+($I109="")+($M109="")+($O109="")+($S109="")&gt;0,"Missing basic details",IF(AND($T109="Downloaded",($R109="")+($U109="")+($V109="")+(($W109="")*(RIGHT(LOWER($U109),4)=".pdf"))&gt;0),"Add file details",IF(AND($T109="Downloaded",LEN($X109)&lt;&gt;64),"Check SHA-256",IF(AND($Q109="",$R109=""),"Add a URL",IF($S109="No","Not official - replace",IF($M109="Not verified","Verify status","OK"))))))))</f>
        <v/>
      </c>
      <c r="AG109" s="21" t="n"/>
      <c r="AH109" s="21" t="n"/>
      <c r="AI109" s="21" t="n"/>
    </row>
    <row r="110" ht="14.25" customHeight="1" s="35">
      <c r="A110" s="21" t="inlineStr">
        <is>
          <t>S-106</t>
        </is>
      </c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19" t="n"/>
      <c r="L110" s="19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19" t="n"/>
      <c r="AD110" s="21" t="n"/>
      <c r="AE110" s="21" t="n"/>
      <c r="AF110" s="21">
        <f>IF($H110="","",IF($T110="To find","Not started",IF(($C110="")+($D110="")+($E110="")+($G110="")+($I110="")+($M110="")+($O110="")+($S110="")&gt;0,"Missing basic details",IF(AND($T110="Downloaded",($R110="")+($U110="")+($V110="")+(($W110="")*(RIGHT(LOWER($U110),4)=".pdf"))&gt;0),"Add file details",IF(AND($T110="Downloaded",LEN($X110)&lt;&gt;64),"Check SHA-256",IF(AND($Q110="",$R110=""),"Add a URL",IF($S110="No","Not official - replace",IF($M110="Not verified","Verify status","OK"))))))))</f>
        <v/>
      </c>
      <c r="AG110" s="21" t="n"/>
      <c r="AH110" s="21" t="n"/>
      <c r="AI110" s="21" t="n"/>
    </row>
    <row r="111" ht="14.25" customHeight="1" s="35">
      <c r="A111" s="21" t="inlineStr">
        <is>
          <t>S-107</t>
        </is>
      </c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19" t="n"/>
      <c r="L111" s="19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19" t="n"/>
      <c r="AD111" s="21" t="n"/>
      <c r="AE111" s="21" t="n"/>
      <c r="AF111" s="21">
        <f>IF($H111="","",IF($T111="To find","Not started",IF(($C111="")+($D111="")+($E111="")+($G111="")+($I111="")+($M111="")+($O111="")+($S111="")&gt;0,"Missing basic details",IF(AND($T111="Downloaded",($R111="")+($U111="")+($V111="")+(($W111="")*(RIGHT(LOWER($U111),4)=".pdf"))&gt;0),"Add file details",IF(AND($T111="Downloaded",LEN($X111)&lt;&gt;64),"Check SHA-256",IF(AND($Q111="",$R111=""),"Add a URL",IF($S111="No","Not official - replace",IF($M111="Not verified","Verify status","OK"))))))))</f>
        <v/>
      </c>
      <c r="AG111" s="21" t="n"/>
      <c r="AH111" s="21" t="n"/>
      <c r="AI111" s="21" t="n"/>
    </row>
    <row r="112" ht="14.25" customHeight="1" s="35">
      <c r="A112" s="21" t="inlineStr">
        <is>
          <t>S-108</t>
        </is>
      </c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19" t="n"/>
      <c r="L112" s="19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19" t="n"/>
      <c r="AD112" s="21" t="n"/>
      <c r="AE112" s="21" t="n"/>
      <c r="AF112" s="21">
        <f>IF($H112="","",IF($T112="To find","Not started",IF(($C112="")+($D112="")+($E112="")+($G112="")+($I112="")+($M112="")+($O112="")+($S112="")&gt;0,"Missing basic details",IF(AND($T112="Downloaded",($R112="")+($U112="")+($V112="")+(($W112="")*(RIGHT(LOWER($U112),4)=".pdf"))&gt;0),"Add file details",IF(AND($T112="Downloaded",LEN($X112)&lt;&gt;64),"Check SHA-256",IF(AND($Q112="",$R112=""),"Add a URL",IF($S112="No","Not official - replace",IF($M112="Not verified","Verify status","OK"))))))))</f>
        <v/>
      </c>
      <c r="AG112" s="21" t="n"/>
      <c r="AH112" s="21" t="n"/>
      <c r="AI112" s="21" t="n"/>
    </row>
    <row r="113" ht="14.25" customHeight="1" s="35">
      <c r="A113" s="21" t="inlineStr">
        <is>
          <t>S-109</t>
        </is>
      </c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19" t="n"/>
      <c r="L113" s="19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19" t="n"/>
      <c r="AD113" s="21" t="n"/>
      <c r="AE113" s="21" t="n"/>
      <c r="AF113" s="21">
        <f>IF($H113="","",IF($T113="To find","Not started",IF(($C113="")+($D113="")+($E113="")+($G113="")+($I113="")+($M113="")+($O113="")+($S113="")&gt;0,"Missing basic details",IF(AND($T113="Downloaded",($R113="")+($U113="")+($V113="")+(($W113="")*(RIGHT(LOWER($U113),4)=".pdf"))&gt;0),"Add file details",IF(AND($T113="Downloaded",LEN($X113)&lt;&gt;64),"Check SHA-256",IF(AND($Q113="",$R113=""),"Add a URL",IF($S113="No","Not official - replace",IF($M113="Not verified","Verify status","OK"))))))))</f>
        <v/>
      </c>
      <c r="AG113" s="21" t="n"/>
      <c r="AH113" s="21" t="n"/>
      <c r="AI113" s="21" t="n"/>
    </row>
    <row r="114" ht="14.25" customHeight="1" s="35">
      <c r="A114" s="21" t="inlineStr">
        <is>
          <t>S-110</t>
        </is>
      </c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19" t="n"/>
      <c r="L114" s="19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19" t="n"/>
      <c r="AD114" s="21" t="n"/>
      <c r="AE114" s="21" t="n"/>
      <c r="AF114" s="21">
        <f>IF($H114="","",IF($T114="To find","Not started",IF(($C114="")+($D114="")+($E114="")+($G114="")+($I114="")+($M114="")+($O114="")+($S114="")&gt;0,"Missing basic details",IF(AND($T114="Downloaded",($R114="")+($U114="")+($V114="")+(($W114="")*(RIGHT(LOWER($U114),4)=".pdf"))&gt;0),"Add file details",IF(AND($T114="Downloaded",LEN($X114)&lt;&gt;64),"Check SHA-256",IF(AND($Q114="",$R114=""),"Add a URL",IF($S114="No","Not official - replace",IF($M114="Not verified","Verify status","OK"))))))))</f>
        <v/>
      </c>
      <c r="AG114" s="21" t="n"/>
      <c r="AH114" s="21" t="n"/>
      <c r="AI114" s="21" t="n"/>
    </row>
    <row r="115" ht="14.25" customHeight="1" s="35">
      <c r="A115" s="21" t="inlineStr">
        <is>
          <t>S-111</t>
        </is>
      </c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19" t="n"/>
      <c r="L115" s="19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19" t="n"/>
      <c r="AD115" s="21" t="n"/>
      <c r="AE115" s="21" t="n"/>
      <c r="AF115" s="21">
        <f>IF($H115="","",IF($T115="To find","Not started",IF(($C115="")+($D115="")+($E115="")+($G115="")+($I115="")+($M115="")+($O115="")+($S115="")&gt;0,"Missing basic details",IF(AND($T115="Downloaded",($R115="")+($U115="")+($V115="")+(($W115="")*(RIGHT(LOWER($U115),4)=".pdf"))&gt;0),"Add file details",IF(AND($T115="Downloaded",LEN($X115)&lt;&gt;64),"Check SHA-256",IF(AND($Q115="",$R115=""),"Add a URL",IF($S115="No","Not official - replace",IF($M115="Not verified","Verify status","OK"))))))))</f>
        <v/>
      </c>
      <c r="AG115" s="21" t="n"/>
      <c r="AH115" s="21" t="n"/>
      <c r="AI115" s="21" t="n"/>
    </row>
    <row r="116" ht="14.25" customHeight="1" s="35">
      <c r="A116" s="21" t="inlineStr">
        <is>
          <t>S-112</t>
        </is>
      </c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19" t="n"/>
      <c r="L116" s="19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19" t="n"/>
      <c r="AD116" s="21" t="n"/>
      <c r="AE116" s="21" t="n"/>
      <c r="AF116" s="21">
        <f>IF($H116="","",IF($T116="To find","Not started",IF(($C116="")+($D116="")+($E116="")+($G116="")+($I116="")+($M116="")+($O116="")+($S116="")&gt;0,"Missing basic details",IF(AND($T116="Downloaded",($R116="")+($U116="")+($V116="")+(($W116="")*(RIGHT(LOWER($U116),4)=".pdf"))&gt;0),"Add file details",IF(AND($T116="Downloaded",LEN($X116)&lt;&gt;64),"Check SHA-256",IF(AND($Q116="",$R116=""),"Add a URL",IF($S116="No","Not official - replace",IF($M116="Not verified","Verify status","OK"))))))))</f>
        <v/>
      </c>
      <c r="AG116" s="21" t="n"/>
      <c r="AH116" s="21" t="n"/>
      <c r="AI116" s="21" t="n"/>
    </row>
    <row r="117" ht="14.25" customHeight="1" s="35">
      <c r="A117" s="21" t="inlineStr">
        <is>
          <t>S-113</t>
        </is>
      </c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19" t="n"/>
      <c r="L117" s="19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19" t="n"/>
      <c r="AD117" s="21" t="n"/>
      <c r="AE117" s="21" t="n"/>
      <c r="AF117" s="21">
        <f>IF($H117="","",IF($T117="To find","Not started",IF(($C117="")+($D117="")+($E117="")+($G117="")+($I117="")+($M117="")+($O117="")+($S117="")&gt;0,"Missing basic details",IF(AND($T117="Downloaded",($R117="")+($U117="")+($V117="")+(($W117="")*(RIGHT(LOWER($U117),4)=".pdf"))&gt;0),"Add file details",IF(AND($T117="Downloaded",LEN($X117)&lt;&gt;64),"Check SHA-256",IF(AND($Q117="",$R117=""),"Add a URL",IF($S117="No","Not official - replace",IF($M117="Not verified","Verify status","OK"))))))))</f>
        <v/>
      </c>
      <c r="AG117" s="21" t="n"/>
      <c r="AH117" s="21" t="n"/>
      <c r="AI117" s="21" t="n"/>
    </row>
    <row r="118" ht="14.25" customHeight="1" s="35">
      <c r="A118" s="21" t="inlineStr">
        <is>
          <t>S-114</t>
        </is>
      </c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19" t="n"/>
      <c r="L118" s="19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19" t="n"/>
      <c r="AD118" s="21" t="n"/>
      <c r="AE118" s="21" t="n"/>
      <c r="AF118" s="21">
        <f>IF($H118="","",IF($T118="To find","Not started",IF(($C118="")+($D118="")+($E118="")+($G118="")+($I118="")+($M118="")+($O118="")+($S118="")&gt;0,"Missing basic details",IF(AND($T118="Downloaded",($R118="")+($U118="")+($V118="")+(($W118="")*(RIGHT(LOWER($U118),4)=".pdf"))&gt;0),"Add file details",IF(AND($T118="Downloaded",LEN($X118)&lt;&gt;64),"Check SHA-256",IF(AND($Q118="",$R118=""),"Add a URL",IF($S118="No","Not official - replace",IF($M118="Not verified","Verify status","OK"))))))))</f>
        <v/>
      </c>
      <c r="AG118" s="21" t="n"/>
      <c r="AH118" s="21" t="n"/>
      <c r="AI118" s="21" t="n"/>
    </row>
    <row r="119" ht="14.25" customHeight="1" s="35">
      <c r="A119" s="21" t="inlineStr">
        <is>
          <t>S-115</t>
        </is>
      </c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19" t="n"/>
      <c r="L119" s="19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19" t="n"/>
      <c r="AD119" s="21" t="n"/>
      <c r="AE119" s="21" t="n"/>
      <c r="AF119" s="21">
        <f>IF($H119="","",IF($T119="To find","Not started",IF(($C119="")+($D119="")+($E119="")+($G119="")+($I119="")+($M119="")+($O119="")+($S119="")&gt;0,"Missing basic details",IF(AND($T119="Downloaded",($R119="")+($U119="")+($V119="")+(($W119="")*(RIGHT(LOWER($U119),4)=".pdf"))&gt;0),"Add file details",IF(AND($T119="Downloaded",LEN($X119)&lt;&gt;64),"Check SHA-256",IF(AND($Q119="",$R119=""),"Add a URL",IF($S119="No","Not official - replace",IF($M119="Not verified","Verify status","OK"))))))))</f>
        <v/>
      </c>
      <c r="AG119" s="21" t="n"/>
      <c r="AH119" s="21" t="n"/>
      <c r="AI119" s="21" t="n"/>
    </row>
    <row r="120" ht="14.25" customHeight="1" s="35">
      <c r="A120" s="21" t="inlineStr">
        <is>
          <t>S-116</t>
        </is>
      </c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19" t="n"/>
      <c r="L120" s="19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19" t="n"/>
      <c r="AD120" s="21" t="n"/>
      <c r="AE120" s="21" t="n"/>
      <c r="AF120" s="21">
        <f>IF($H120="","",IF($T120="To find","Not started",IF(($C120="")+($D120="")+($E120="")+($G120="")+($I120="")+($M120="")+($O120="")+($S120="")&gt;0,"Missing basic details",IF(AND($T120="Downloaded",($R120="")+($U120="")+($V120="")+(($W120="")*(RIGHT(LOWER($U120),4)=".pdf"))&gt;0),"Add file details",IF(AND($T120="Downloaded",LEN($X120)&lt;&gt;64),"Check SHA-256",IF(AND($Q120="",$R120=""),"Add a URL",IF($S120="No","Not official - replace",IF($M120="Not verified","Verify status","OK"))))))))</f>
        <v/>
      </c>
      <c r="AG120" s="21" t="n"/>
      <c r="AH120" s="21" t="n"/>
      <c r="AI120" s="21" t="n"/>
    </row>
    <row r="121" ht="14.25" customHeight="1" s="35">
      <c r="A121" s="21" t="inlineStr">
        <is>
          <t>S-117</t>
        </is>
      </c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19" t="n"/>
      <c r="L121" s="19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19" t="n"/>
      <c r="AD121" s="21" t="n"/>
      <c r="AE121" s="21" t="n"/>
      <c r="AF121" s="21">
        <f>IF($H121="","",IF($T121="To find","Not started",IF(($C121="")+($D121="")+($E121="")+($G121="")+($I121="")+($M121="")+($O121="")+($S121="")&gt;0,"Missing basic details",IF(AND($T121="Downloaded",($R121="")+($U121="")+($V121="")+(($W121="")*(RIGHT(LOWER($U121),4)=".pdf"))&gt;0),"Add file details",IF(AND($T121="Downloaded",LEN($X121)&lt;&gt;64),"Check SHA-256",IF(AND($Q121="",$R121=""),"Add a URL",IF($S121="No","Not official - replace",IF($M121="Not verified","Verify status","OK"))))))))</f>
        <v/>
      </c>
      <c r="AG121" s="21" t="n"/>
      <c r="AH121" s="21" t="n"/>
      <c r="AI121" s="21" t="n"/>
    </row>
    <row r="122" ht="14.25" customHeight="1" s="35">
      <c r="A122" s="21" t="inlineStr">
        <is>
          <t>S-118</t>
        </is>
      </c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19" t="n"/>
      <c r="L122" s="19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19" t="n"/>
      <c r="AD122" s="21" t="n"/>
      <c r="AE122" s="21" t="n"/>
      <c r="AF122" s="21">
        <f>IF($H122="","",IF($T122="To find","Not started",IF(($C122="")+($D122="")+($E122="")+($G122="")+($I122="")+($M122="")+($O122="")+($S122="")&gt;0,"Missing basic details",IF(AND($T122="Downloaded",($R122="")+($U122="")+($V122="")+(($W122="")*(RIGHT(LOWER($U122),4)=".pdf"))&gt;0),"Add file details",IF(AND($T122="Downloaded",LEN($X122)&lt;&gt;64),"Check SHA-256",IF(AND($Q122="",$R122=""),"Add a URL",IF($S122="No","Not official - replace",IF($M122="Not verified","Verify status","OK"))))))))</f>
        <v/>
      </c>
      <c r="AG122" s="21" t="n"/>
      <c r="AH122" s="21" t="n"/>
      <c r="AI122" s="21" t="n"/>
    </row>
    <row r="123" ht="14.25" customHeight="1" s="35">
      <c r="A123" s="21" t="inlineStr">
        <is>
          <t>S-119</t>
        </is>
      </c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19" t="n"/>
      <c r="L123" s="19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19" t="n"/>
      <c r="AD123" s="21" t="n"/>
      <c r="AE123" s="21" t="n"/>
      <c r="AF123" s="21">
        <f>IF($H123="","",IF($T123="To find","Not started",IF(($C123="")+($D123="")+($E123="")+($G123="")+($I123="")+($M123="")+($O123="")+($S123="")&gt;0,"Missing basic details",IF(AND($T123="Downloaded",($R123="")+($U123="")+($V123="")+(($W123="")*(RIGHT(LOWER($U123),4)=".pdf"))&gt;0),"Add file details",IF(AND($T123="Downloaded",LEN($X123)&lt;&gt;64),"Check SHA-256",IF(AND($Q123="",$R123=""),"Add a URL",IF($S123="No","Not official - replace",IF($M123="Not verified","Verify status","OK"))))))))</f>
        <v/>
      </c>
      <c r="AG123" s="21" t="n"/>
      <c r="AH123" s="21" t="n"/>
      <c r="AI123" s="21" t="n"/>
    </row>
    <row r="124" ht="14.25" customHeight="1" s="35">
      <c r="A124" s="21" t="inlineStr">
        <is>
          <t>S-120</t>
        </is>
      </c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19" t="n"/>
      <c r="L124" s="19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19" t="n"/>
      <c r="AD124" s="21" t="n"/>
      <c r="AE124" s="21" t="n"/>
      <c r="AF124" s="21">
        <f>IF($H124="","",IF($T124="To find","Not started",IF(($C124="")+($D124="")+($E124="")+($G124="")+($I124="")+($M124="")+($O124="")+($S124="")&gt;0,"Missing basic details",IF(AND($T124="Downloaded",($R124="")+($U124="")+($V124="")+(($W124="")*(RIGHT(LOWER($U124),4)=".pdf"))&gt;0),"Add file details",IF(AND($T124="Downloaded",LEN($X124)&lt;&gt;64),"Check SHA-256",IF(AND($Q124="",$R124=""),"Add a URL",IF($S124="No","Not official - replace",IF($M124="Not verified","Verify status","OK"))))))))</f>
        <v/>
      </c>
      <c r="AG124" s="21" t="n"/>
      <c r="AH124" s="21" t="n"/>
      <c r="AI124" s="21" t="n"/>
    </row>
    <row r="125" ht="14.25" customHeight="1" s="35">
      <c r="A125" s="21" t="inlineStr">
        <is>
          <t>S-121</t>
        </is>
      </c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19" t="n"/>
      <c r="L125" s="19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19" t="n"/>
      <c r="AD125" s="21" t="n"/>
      <c r="AE125" s="21" t="n"/>
      <c r="AF125" s="21">
        <f>IF($H125="","",IF($T125="To find","Not started",IF(($C125="")+($D125="")+($E125="")+($G125="")+($I125="")+($M125="")+($O125="")+($S125="")&gt;0,"Missing basic details",IF(AND($T125="Downloaded",($R125="")+($U125="")+($V125="")+(($W125="")*(RIGHT(LOWER($U125),4)=".pdf"))&gt;0),"Add file details",IF(AND($T125="Downloaded",LEN($X125)&lt;&gt;64),"Check SHA-256",IF(AND($Q125="",$R125=""),"Add a URL",IF($S125="No","Not official - replace",IF($M125="Not verified","Verify status","OK"))))))))</f>
        <v/>
      </c>
      <c r="AG125" s="21" t="n"/>
      <c r="AH125" s="21" t="n"/>
      <c r="AI125" s="21" t="n"/>
    </row>
    <row r="126" ht="14.25" customHeight="1" s="35">
      <c r="A126" s="21" t="inlineStr">
        <is>
          <t>S-122</t>
        </is>
      </c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19" t="n"/>
      <c r="L126" s="19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19" t="n"/>
      <c r="AD126" s="21" t="n"/>
      <c r="AE126" s="21" t="n"/>
      <c r="AF126" s="21">
        <f>IF($H126="","",IF($T126="To find","Not started",IF(($C126="")+($D126="")+($E126="")+($G126="")+($I126="")+($M126="")+($O126="")+($S126="")&gt;0,"Missing basic details",IF(AND($T126="Downloaded",($R126="")+($U126="")+($V126="")+(($W126="")*(RIGHT(LOWER($U126),4)=".pdf"))&gt;0),"Add file details",IF(AND($T126="Downloaded",LEN($X126)&lt;&gt;64),"Check SHA-256",IF(AND($Q126="",$R126=""),"Add a URL",IF($S126="No","Not official - replace",IF($M126="Not verified","Verify status","OK"))))))))</f>
        <v/>
      </c>
      <c r="AG126" s="21" t="n"/>
      <c r="AH126" s="21" t="n"/>
      <c r="AI126" s="21" t="n"/>
    </row>
    <row r="127" ht="14.25" customHeight="1" s="35">
      <c r="A127" s="21" t="inlineStr">
        <is>
          <t>S-123</t>
        </is>
      </c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19" t="n"/>
      <c r="L127" s="19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19" t="n"/>
      <c r="AD127" s="21" t="n"/>
      <c r="AE127" s="21" t="n"/>
      <c r="AF127" s="21">
        <f>IF($H127="","",IF($T127="To find","Not started",IF(($C127="")+($D127="")+($E127="")+($G127="")+($I127="")+($M127="")+($O127="")+($S127="")&gt;0,"Missing basic details",IF(AND($T127="Downloaded",($R127="")+($U127="")+($V127="")+(($W127="")*(RIGHT(LOWER($U127),4)=".pdf"))&gt;0),"Add file details",IF(AND($T127="Downloaded",LEN($X127)&lt;&gt;64),"Check SHA-256",IF(AND($Q127="",$R127=""),"Add a URL",IF($S127="No","Not official - replace",IF($M127="Not verified","Verify status","OK"))))))))</f>
        <v/>
      </c>
      <c r="AG127" s="21" t="n"/>
      <c r="AH127" s="21" t="n"/>
      <c r="AI127" s="21" t="n"/>
    </row>
    <row r="128" ht="14.25" customHeight="1" s="35">
      <c r="A128" s="21" t="inlineStr">
        <is>
          <t>S-124</t>
        </is>
      </c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19" t="n"/>
      <c r="L128" s="19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19" t="n"/>
      <c r="AD128" s="21" t="n"/>
      <c r="AE128" s="21" t="n"/>
      <c r="AF128" s="21">
        <f>IF($H128="","",IF($T128="To find","Not started",IF(($C128="")+($D128="")+($E128="")+($G128="")+($I128="")+($M128="")+($O128="")+($S128="")&gt;0,"Missing basic details",IF(AND($T128="Downloaded",($R128="")+($U128="")+($V128="")+(($W128="")*(RIGHT(LOWER($U128),4)=".pdf"))&gt;0),"Add file details",IF(AND($T128="Downloaded",LEN($X128)&lt;&gt;64),"Check SHA-256",IF(AND($Q128="",$R128=""),"Add a URL",IF($S128="No","Not official - replace",IF($M128="Not verified","Verify status","OK"))))))))</f>
        <v/>
      </c>
      <c r="AG128" s="21" t="n"/>
      <c r="AH128" s="21" t="n"/>
      <c r="AI128" s="21" t="n"/>
    </row>
    <row r="129" ht="14.25" customHeight="1" s="35">
      <c r="A129" s="21" t="inlineStr">
        <is>
          <t>S-125</t>
        </is>
      </c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19" t="n"/>
      <c r="L129" s="19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19" t="n"/>
      <c r="AD129" s="21" t="n"/>
      <c r="AE129" s="21" t="n"/>
      <c r="AF129" s="21">
        <f>IF($H129="","",IF($T129="To find","Not started",IF(($C129="")+($D129="")+($E129="")+($G129="")+($I129="")+($M129="")+($O129="")+($S129="")&gt;0,"Missing basic details",IF(AND($T129="Downloaded",($R129="")+($U129="")+($V129="")+(($W129="")*(RIGHT(LOWER($U129),4)=".pdf"))&gt;0),"Add file details",IF(AND($T129="Downloaded",LEN($X129)&lt;&gt;64),"Check SHA-256",IF(AND($Q129="",$R129=""),"Add a URL",IF($S129="No","Not official - replace",IF($M129="Not verified","Verify status","OK"))))))))</f>
        <v/>
      </c>
      <c r="AG129" s="21" t="n"/>
      <c r="AH129" s="21" t="n"/>
      <c r="AI129" s="21" t="n"/>
    </row>
    <row r="130" ht="14.25" customHeight="1" s="35">
      <c r="A130" s="21" t="inlineStr">
        <is>
          <t>S-126</t>
        </is>
      </c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19" t="n"/>
      <c r="L130" s="19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19" t="n"/>
      <c r="AD130" s="21" t="n"/>
      <c r="AE130" s="21" t="n"/>
      <c r="AF130" s="21">
        <f>IF($H130="","",IF($T130="To find","Not started",IF(($C130="")+($D130="")+($E130="")+($G130="")+($I130="")+($M130="")+($O130="")+($S130="")&gt;0,"Missing basic details",IF(AND($T130="Downloaded",($R130="")+($U130="")+($V130="")+(($W130="")*(RIGHT(LOWER($U130),4)=".pdf"))&gt;0),"Add file details",IF(AND($T130="Downloaded",LEN($X130)&lt;&gt;64),"Check SHA-256",IF(AND($Q130="",$R130=""),"Add a URL",IF($S130="No","Not official - replace",IF($M130="Not verified","Verify status","OK"))))))))</f>
        <v/>
      </c>
      <c r="AG130" s="21" t="n"/>
      <c r="AH130" s="21" t="n"/>
      <c r="AI130" s="21" t="n"/>
    </row>
    <row r="131" ht="14.25" customHeight="1" s="35">
      <c r="A131" s="21" t="inlineStr">
        <is>
          <t>S-127</t>
        </is>
      </c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19" t="n"/>
      <c r="L131" s="19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19" t="n"/>
      <c r="AD131" s="21" t="n"/>
      <c r="AE131" s="21" t="n"/>
      <c r="AF131" s="21">
        <f>IF($H131="","",IF($T131="To find","Not started",IF(($C131="")+($D131="")+($E131="")+($G131="")+($I131="")+($M131="")+($O131="")+($S131="")&gt;0,"Missing basic details",IF(AND($T131="Downloaded",($R131="")+($U131="")+($V131="")+(($W131="")*(RIGHT(LOWER($U131),4)=".pdf"))&gt;0),"Add file details",IF(AND($T131="Downloaded",LEN($X131)&lt;&gt;64),"Check SHA-256",IF(AND($Q131="",$R131=""),"Add a URL",IF($S131="No","Not official - replace",IF($M131="Not verified","Verify status","OK"))))))))</f>
        <v/>
      </c>
      <c r="AG131" s="21" t="n"/>
      <c r="AH131" s="21" t="n"/>
      <c r="AI131" s="21" t="n"/>
    </row>
    <row r="132" ht="14.25" customHeight="1" s="35">
      <c r="A132" s="21" t="inlineStr">
        <is>
          <t>S-128</t>
        </is>
      </c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19" t="n"/>
      <c r="L132" s="19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19" t="n"/>
      <c r="AD132" s="21" t="n"/>
      <c r="AE132" s="21" t="n"/>
      <c r="AF132" s="21">
        <f>IF($H132="","",IF($T132="To find","Not started",IF(($C132="")+($D132="")+($E132="")+($G132="")+($I132="")+($M132="")+($O132="")+($S132="")&gt;0,"Missing basic details",IF(AND($T132="Downloaded",($R132="")+($U132="")+($V132="")+(($W132="")*(RIGHT(LOWER($U132),4)=".pdf"))&gt;0),"Add file details",IF(AND($T132="Downloaded",LEN($X132)&lt;&gt;64),"Check SHA-256",IF(AND($Q132="",$R132=""),"Add a URL",IF($S132="No","Not official - replace",IF($M132="Not verified","Verify status","OK"))))))))</f>
        <v/>
      </c>
      <c r="AG132" s="21" t="n"/>
      <c r="AH132" s="21" t="n"/>
      <c r="AI132" s="21" t="n"/>
    </row>
    <row r="133" ht="14.25" customHeight="1" s="35">
      <c r="A133" s="21" t="inlineStr">
        <is>
          <t>S-129</t>
        </is>
      </c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19" t="n"/>
      <c r="L133" s="19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19" t="n"/>
      <c r="AD133" s="21" t="n"/>
      <c r="AE133" s="21" t="n"/>
      <c r="AF133" s="21">
        <f>IF($H133="","",IF($T133="To find","Not started",IF(($C133="")+($D133="")+($E133="")+($G133="")+($I133="")+($M133="")+($O133="")+($S133="")&gt;0,"Missing basic details",IF(AND($T133="Downloaded",($R133="")+($U133="")+($V133="")+(($W133="")*(RIGHT(LOWER($U133),4)=".pdf"))&gt;0),"Add file details",IF(AND($T133="Downloaded",LEN($X133)&lt;&gt;64),"Check SHA-256",IF(AND($Q133="",$R133=""),"Add a URL",IF($S133="No","Not official - replace",IF($M133="Not verified","Verify status","OK"))))))))</f>
        <v/>
      </c>
      <c r="AG133" s="21" t="n"/>
      <c r="AH133" s="21" t="n"/>
      <c r="AI133" s="21" t="n"/>
    </row>
    <row r="134" ht="14.25" customHeight="1" s="35">
      <c r="A134" s="21" t="inlineStr">
        <is>
          <t>S-130</t>
        </is>
      </c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19" t="n"/>
      <c r="L134" s="19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19" t="n"/>
      <c r="AD134" s="21" t="n"/>
      <c r="AE134" s="21" t="n"/>
      <c r="AF134" s="21">
        <f>IF($H134="","",IF($T134="To find","Not started",IF(($C134="")+($D134="")+($E134="")+($G134="")+($I134="")+($M134="")+($O134="")+($S134="")&gt;0,"Missing basic details",IF(AND($T134="Downloaded",($R134="")+($U134="")+($V134="")+(($W134="")*(RIGHT(LOWER($U134),4)=".pdf"))&gt;0),"Add file details",IF(AND($T134="Downloaded",LEN($X134)&lt;&gt;64),"Check SHA-256",IF(AND($Q134="",$R134=""),"Add a URL",IF($S134="No","Not official - replace",IF($M134="Not verified","Verify status","OK"))))))))</f>
        <v/>
      </c>
      <c r="AG134" s="21" t="n"/>
      <c r="AH134" s="21" t="n"/>
      <c r="AI134" s="21" t="n"/>
    </row>
    <row r="135" ht="14.25" customHeight="1" s="35">
      <c r="A135" s="21" t="inlineStr">
        <is>
          <t>S-131</t>
        </is>
      </c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19" t="n"/>
      <c r="L135" s="19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19" t="n"/>
      <c r="AD135" s="21" t="n"/>
      <c r="AE135" s="21" t="n"/>
      <c r="AF135" s="21">
        <f>IF($H135="","",IF($T135="To find","Not started",IF(($C135="")+($D135="")+($E135="")+($G135="")+($I135="")+($M135="")+($O135="")+($S135="")&gt;0,"Missing basic details",IF(AND($T135="Downloaded",($R135="")+($U135="")+($V135="")+(($W135="")*(RIGHT(LOWER($U135),4)=".pdf"))&gt;0),"Add file details",IF(AND($T135="Downloaded",LEN($X135)&lt;&gt;64),"Check SHA-256",IF(AND($Q135="",$R135=""),"Add a URL",IF($S135="No","Not official - replace",IF($M135="Not verified","Verify status","OK"))))))))</f>
        <v/>
      </c>
      <c r="AG135" s="21" t="n"/>
      <c r="AH135" s="21" t="n"/>
      <c r="AI135" s="21" t="n"/>
    </row>
    <row r="136" ht="14.25" customHeight="1" s="35">
      <c r="A136" s="21" t="inlineStr">
        <is>
          <t>S-132</t>
        </is>
      </c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19" t="n"/>
      <c r="L136" s="19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19" t="n"/>
      <c r="AD136" s="21" t="n"/>
      <c r="AE136" s="21" t="n"/>
      <c r="AF136" s="21">
        <f>IF($H136="","",IF($T136="To find","Not started",IF(($C136="")+($D136="")+($E136="")+($G136="")+($I136="")+($M136="")+($O136="")+($S136="")&gt;0,"Missing basic details",IF(AND($T136="Downloaded",($R136="")+($U136="")+($V136="")+(($W136="")*(RIGHT(LOWER($U136),4)=".pdf"))&gt;0),"Add file details",IF(AND($T136="Downloaded",LEN($X136)&lt;&gt;64),"Check SHA-256",IF(AND($Q136="",$R136=""),"Add a URL",IF($S136="No","Not official - replace",IF($M136="Not verified","Verify status","OK"))))))))</f>
        <v/>
      </c>
      <c r="AG136" s="21" t="n"/>
      <c r="AH136" s="21" t="n"/>
      <c r="AI136" s="21" t="n"/>
    </row>
    <row r="137" ht="14.25" customHeight="1" s="35">
      <c r="A137" s="21" t="inlineStr">
        <is>
          <t>S-133</t>
        </is>
      </c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19" t="n"/>
      <c r="L137" s="19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19" t="n"/>
      <c r="AD137" s="21" t="n"/>
      <c r="AE137" s="21" t="n"/>
      <c r="AF137" s="21">
        <f>IF($H137="","",IF($T137="To find","Not started",IF(($C137="")+($D137="")+($E137="")+($G137="")+($I137="")+($M137="")+($O137="")+($S137="")&gt;0,"Missing basic details",IF(AND($T137="Downloaded",($R137="")+($U137="")+($V137="")+(($W137="")*(RIGHT(LOWER($U137),4)=".pdf"))&gt;0),"Add file details",IF(AND($T137="Downloaded",LEN($X137)&lt;&gt;64),"Check SHA-256",IF(AND($Q137="",$R137=""),"Add a URL",IF($S137="No","Not official - replace",IF($M137="Not verified","Verify status","OK"))))))))</f>
        <v/>
      </c>
      <c r="AG137" s="21" t="n"/>
      <c r="AH137" s="21" t="n"/>
      <c r="AI137" s="21" t="n"/>
    </row>
    <row r="138" ht="14.25" customHeight="1" s="35">
      <c r="A138" s="21" t="inlineStr">
        <is>
          <t>S-134</t>
        </is>
      </c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19" t="n"/>
      <c r="L138" s="19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19" t="n"/>
      <c r="AD138" s="21" t="n"/>
      <c r="AE138" s="21" t="n"/>
      <c r="AF138" s="21">
        <f>IF($H138="","",IF($T138="To find","Not started",IF(($C138="")+($D138="")+($E138="")+($G138="")+($I138="")+($M138="")+($O138="")+($S138="")&gt;0,"Missing basic details",IF(AND($T138="Downloaded",($R138="")+($U138="")+($V138="")+(($W138="")*(RIGHT(LOWER($U138),4)=".pdf"))&gt;0),"Add file details",IF(AND($T138="Downloaded",LEN($X138)&lt;&gt;64),"Check SHA-256",IF(AND($Q138="",$R138=""),"Add a URL",IF($S138="No","Not official - replace",IF($M138="Not verified","Verify status","OK"))))))))</f>
        <v/>
      </c>
      <c r="AG138" s="21" t="n"/>
      <c r="AH138" s="21" t="n"/>
      <c r="AI138" s="21" t="n"/>
    </row>
    <row r="139" ht="14.25" customHeight="1" s="35">
      <c r="A139" s="21" t="inlineStr">
        <is>
          <t>S-135</t>
        </is>
      </c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19" t="n"/>
      <c r="L139" s="19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19" t="n"/>
      <c r="AD139" s="21" t="n"/>
      <c r="AE139" s="21" t="n"/>
      <c r="AF139" s="21">
        <f>IF($H139="","",IF($T139="To find","Not started",IF(($C139="")+($D139="")+($E139="")+($G139="")+($I139="")+($M139="")+($O139="")+($S139="")&gt;0,"Missing basic details",IF(AND($T139="Downloaded",($R139="")+($U139="")+($V139="")+(($W139="")*(RIGHT(LOWER($U139),4)=".pdf"))&gt;0),"Add file details",IF(AND($T139="Downloaded",LEN($X139)&lt;&gt;64),"Check SHA-256",IF(AND($Q139="",$R139=""),"Add a URL",IF($S139="No","Not official - replace",IF($M139="Not verified","Verify status","OK"))))))))</f>
        <v/>
      </c>
      <c r="AG139" s="21" t="n"/>
      <c r="AH139" s="21" t="n"/>
      <c r="AI139" s="21" t="n"/>
    </row>
    <row r="140" ht="14.25" customHeight="1" s="35">
      <c r="A140" s="21" t="inlineStr">
        <is>
          <t>S-136</t>
        </is>
      </c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19" t="n"/>
      <c r="L140" s="19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19" t="n"/>
      <c r="AD140" s="21" t="n"/>
      <c r="AE140" s="21" t="n"/>
      <c r="AF140" s="21">
        <f>IF($H140="","",IF($T140="To find","Not started",IF(($C140="")+($D140="")+($E140="")+($G140="")+($I140="")+($M140="")+($O140="")+($S140="")&gt;0,"Missing basic details",IF(AND($T140="Downloaded",($R140="")+($U140="")+($V140="")+(($W140="")*(RIGHT(LOWER($U140),4)=".pdf"))&gt;0),"Add file details",IF(AND($T140="Downloaded",LEN($X140)&lt;&gt;64),"Check SHA-256",IF(AND($Q140="",$R140=""),"Add a URL",IF($S140="No","Not official - replace",IF($M140="Not verified","Verify status","OK"))))))))</f>
        <v/>
      </c>
      <c r="AG140" s="21" t="n"/>
      <c r="AH140" s="21" t="n"/>
      <c r="AI140" s="21" t="n"/>
    </row>
    <row r="141" ht="14.25" customHeight="1" s="35">
      <c r="A141" s="21" t="inlineStr">
        <is>
          <t>S-137</t>
        </is>
      </c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19" t="n"/>
      <c r="L141" s="19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19" t="n"/>
      <c r="AD141" s="21" t="n"/>
      <c r="AE141" s="21" t="n"/>
      <c r="AF141" s="21">
        <f>IF($H141="","",IF($T141="To find","Not started",IF(($C141="")+($D141="")+($E141="")+($G141="")+($I141="")+($M141="")+($O141="")+($S141="")&gt;0,"Missing basic details",IF(AND($T141="Downloaded",($R141="")+($U141="")+($V141="")+(($W141="")*(RIGHT(LOWER($U141),4)=".pdf"))&gt;0),"Add file details",IF(AND($T141="Downloaded",LEN($X141)&lt;&gt;64),"Check SHA-256",IF(AND($Q141="",$R141=""),"Add a URL",IF($S141="No","Not official - replace",IF($M141="Not verified","Verify status","OK"))))))))</f>
        <v/>
      </c>
      <c r="AG141" s="21" t="n"/>
      <c r="AH141" s="21" t="n"/>
      <c r="AI141" s="21" t="n"/>
    </row>
    <row r="142" ht="14.25" customHeight="1" s="35">
      <c r="A142" s="21" t="inlineStr">
        <is>
          <t>S-138</t>
        </is>
      </c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19" t="n"/>
      <c r="L142" s="19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19" t="n"/>
      <c r="AD142" s="21" t="n"/>
      <c r="AE142" s="21" t="n"/>
      <c r="AF142" s="21">
        <f>IF($H142="","",IF($T142="To find","Not started",IF(($C142="")+($D142="")+($E142="")+($G142="")+($I142="")+($M142="")+($O142="")+($S142="")&gt;0,"Missing basic details",IF(AND($T142="Downloaded",($R142="")+($U142="")+($V142="")+(($W142="")*(RIGHT(LOWER($U142),4)=".pdf"))&gt;0),"Add file details",IF(AND($T142="Downloaded",LEN($X142)&lt;&gt;64),"Check SHA-256",IF(AND($Q142="",$R142=""),"Add a URL",IF($S142="No","Not official - replace",IF($M142="Not verified","Verify status","OK"))))))))</f>
        <v/>
      </c>
      <c r="AG142" s="21" t="n"/>
      <c r="AH142" s="21" t="n"/>
      <c r="AI142" s="21" t="n"/>
    </row>
    <row r="143" ht="14.25" customHeight="1" s="35">
      <c r="A143" s="21" t="inlineStr">
        <is>
          <t>S-139</t>
        </is>
      </c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19" t="n"/>
      <c r="L143" s="19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19" t="n"/>
      <c r="AD143" s="21" t="n"/>
      <c r="AE143" s="21" t="n"/>
      <c r="AF143" s="21">
        <f>IF($H143="","",IF($T143="To find","Not started",IF(($C143="")+($D143="")+($E143="")+($G143="")+($I143="")+($M143="")+($O143="")+($S143="")&gt;0,"Missing basic details",IF(AND($T143="Downloaded",($R143="")+($U143="")+($V143="")+(($W143="")*(RIGHT(LOWER($U143),4)=".pdf"))&gt;0),"Add file details",IF(AND($T143="Downloaded",LEN($X143)&lt;&gt;64),"Check SHA-256",IF(AND($Q143="",$R143=""),"Add a URL",IF($S143="No","Not official - replace",IF($M143="Not verified","Verify status","OK"))))))))</f>
        <v/>
      </c>
      <c r="AG143" s="21" t="n"/>
      <c r="AH143" s="21" t="n"/>
      <c r="AI143" s="21" t="n"/>
    </row>
    <row r="144" ht="14.25" customHeight="1" s="35">
      <c r="A144" s="21" t="inlineStr">
        <is>
          <t>S-140</t>
        </is>
      </c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19" t="n"/>
      <c r="L144" s="19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19" t="n"/>
      <c r="AD144" s="21" t="n"/>
      <c r="AE144" s="21" t="n"/>
      <c r="AF144" s="21">
        <f>IF($H144="","",IF($T144="To find","Not started",IF(($C144="")+($D144="")+($E144="")+($G144="")+($I144="")+($M144="")+($O144="")+($S144="")&gt;0,"Missing basic details",IF(AND($T144="Downloaded",($R144="")+($U144="")+($V144="")+(($W144="")*(RIGHT(LOWER($U144),4)=".pdf"))&gt;0),"Add file details",IF(AND($T144="Downloaded",LEN($X144)&lt;&gt;64),"Check SHA-256",IF(AND($Q144="",$R144=""),"Add a URL",IF($S144="No","Not official - replace",IF($M144="Not verified","Verify status","OK"))))))))</f>
        <v/>
      </c>
      <c r="AG144" s="21" t="n"/>
      <c r="AH144" s="21" t="n"/>
      <c r="AI144" s="21" t="n"/>
    </row>
    <row r="145" ht="14.25" customHeight="1" s="35">
      <c r="A145" s="21" t="inlineStr">
        <is>
          <t>S-141</t>
        </is>
      </c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19" t="n"/>
      <c r="L145" s="19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19" t="n"/>
      <c r="AD145" s="21" t="n"/>
      <c r="AE145" s="21" t="n"/>
      <c r="AF145" s="21">
        <f>IF($H145="","",IF($T145="To find","Not started",IF(($C145="")+($D145="")+($E145="")+($G145="")+($I145="")+($M145="")+($O145="")+($S145="")&gt;0,"Missing basic details",IF(AND($T145="Downloaded",($R145="")+($U145="")+($V145="")+(($W145="")*(RIGHT(LOWER($U145),4)=".pdf"))&gt;0),"Add file details",IF(AND($T145="Downloaded",LEN($X145)&lt;&gt;64),"Check SHA-256",IF(AND($Q145="",$R145=""),"Add a URL",IF($S145="No","Not official - replace",IF($M145="Not verified","Verify status","OK"))))))))</f>
        <v/>
      </c>
      <c r="AG145" s="21" t="n"/>
      <c r="AH145" s="21" t="n"/>
      <c r="AI145" s="21" t="n"/>
    </row>
    <row r="146" ht="14.25" customHeight="1" s="35">
      <c r="A146" s="21" t="inlineStr">
        <is>
          <t>S-142</t>
        </is>
      </c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19" t="n"/>
      <c r="L146" s="19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19" t="n"/>
      <c r="AD146" s="21" t="n"/>
      <c r="AE146" s="21" t="n"/>
      <c r="AF146" s="21">
        <f>IF($H146="","",IF($T146="To find","Not started",IF(($C146="")+($D146="")+($E146="")+($G146="")+($I146="")+($M146="")+($O146="")+($S146="")&gt;0,"Missing basic details",IF(AND($T146="Downloaded",($R146="")+($U146="")+($V146="")+(($W146="")*(RIGHT(LOWER($U146),4)=".pdf"))&gt;0),"Add file details",IF(AND($T146="Downloaded",LEN($X146)&lt;&gt;64),"Check SHA-256",IF(AND($Q146="",$R146=""),"Add a URL",IF($S146="No","Not official - replace",IF($M146="Not verified","Verify status","OK"))))))))</f>
        <v/>
      </c>
      <c r="AG146" s="21" t="n"/>
      <c r="AH146" s="21" t="n"/>
      <c r="AI146" s="21" t="n"/>
    </row>
    <row r="147" ht="14.25" customHeight="1" s="35">
      <c r="A147" s="21" t="inlineStr">
        <is>
          <t>S-143</t>
        </is>
      </c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19" t="n"/>
      <c r="L147" s="19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19" t="n"/>
      <c r="AD147" s="21" t="n"/>
      <c r="AE147" s="21" t="n"/>
      <c r="AF147" s="21">
        <f>IF($H147="","",IF($T147="To find","Not started",IF(($C147="")+($D147="")+($E147="")+($G147="")+($I147="")+($M147="")+($O147="")+($S147="")&gt;0,"Missing basic details",IF(AND($T147="Downloaded",($R147="")+($U147="")+($V147="")+(($W147="")*(RIGHT(LOWER($U147),4)=".pdf"))&gt;0),"Add file details",IF(AND($T147="Downloaded",LEN($X147)&lt;&gt;64),"Check SHA-256",IF(AND($Q147="",$R147=""),"Add a URL",IF($S147="No","Not official - replace",IF($M147="Not verified","Verify status","OK"))))))))</f>
        <v/>
      </c>
      <c r="AG147" s="21" t="n"/>
      <c r="AH147" s="21" t="n"/>
      <c r="AI147" s="21" t="n"/>
    </row>
    <row r="148" ht="14.25" customHeight="1" s="35">
      <c r="A148" s="21" t="inlineStr">
        <is>
          <t>S-144</t>
        </is>
      </c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19" t="n"/>
      <c r="L148" s="19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19" t="n"/>
      <c r="AD148" s="21" t="n"/>
      <c r="AE148" s="21" t="n"/>
      <c r="AF148" s="21">
        <f>IF($H148="","",IF($T148="To find","Not started",IF(($C148="")+($D148="")+($E148="")+($G148="")+($I148="")+($M148="")+($O148="")+($S148="")&gt;0,"Missing basic details",IF(AND($T148="Downloaded",($R148="")+($U148="")+($V148="")+(($W148="")*(RIGHT(LOWER($U148),4)=".pdf"))&gt;0),"Add file details",IF(AND($T148="Downloaded",LEN($X148)&lt;&gt;64),"Check SHA-256",IF(AND($Q148="",$R148=""),"Add a URL",IF($S148="No","Not official - replace",IF($M148="Not verified","Verify status","OK"))))))))</f>
        <v/>
      </c>
      <c r="AG148" s="21" t="n"/>
      <c r="AH148" s="21" t="n"/>
      <c r="AI148" s="21" t="n"/>
    </row>
    <row r="149" ht="14.25" customHeight="1" s="35">
      <c r="A149" s="21" t="inlineStr">
        <is>
          <t>S-145</t>
        </is>
      </c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19" t="n"/>
      <c r="L149" s="19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19" t="n"/>
      <c r="AD149" s="21" t="n"/>
      <c r="AE149" s="21" t="n"/>
      <c r="AF149" s="21">
        <f>IF($H149="","",IF($T149="To find","Not started",IF(($C149="")+($D149="")+($E149="")+($G149="")+($I149="")+($M149="")+($O149="")+($S149="")&gt;0,"Missing basic details",IF(AND($T149="Downloaded",($R149="")+($U149="")+($V149="")+(($W149="")*(RIGHT(LOWER($U149),4)=".pdf"))&gt;0),"Add file details",IF(AND($T149="Downloaded",LEN($X149)&lt;&gt;64),"Check SHA-256",IF(AND($Q149="",$R149=""),"Add a URL",IF($S149="No","Not official - replace",IF($M149="Not verified","Verify status","OK"))))))))</f>
        <v/>
      </c>
      <c r="AG149" s="21" t="n"/>
      <c r="AH149" s="21" t="n"/>
      <c r="AI149" s="21" t="n"/>
    </row>
    <row r="150" ht="14.25" customHeight="1" s="35">
      <c r="A150" s="21" t="inlineStr">
        <is>
          <t>S-146</t>
        </is>
      </c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19" t="n"/>
      <c r="L150" s="19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19" t="n"/>
      <c r="AD150" s="21" t="n"/>
      <c r="AE150" s="21" t="n"/>
      <c r="AF150" s="21">
        <f>IF($H150="","",IF($T150="To find","Not started",IF(($C150="")+($D150="")+($E150="")+($G150="")+($I150="")+($M150="")+($O150="")+($S150="")&gt;0,"Missing basic details",IF(AND($T150="Downloaded",($R150="")+($U150="")+($V150="")+(($W150="")*(RIGHT(LOWER($U150),4)=".pdf"))&gt;0),"Add file details",IF(AND($T150="Downloaded",LEN($X150)&lt;&gt;64),"Check SHA-256",IF(AND($Q150="",$R150=""),"Add a URL",IF($S150="No","Not official - replace",IF($M150="Not verified","Verify status","OK"))))))))</f>
        <v/>
      </c>
      <c r="AG150" s="21" t="n"/>
      <c r="AH150" s="21" t="n"/>
      <c r="AI150" s="21" t="n"/>
    </row>
    <row r="151" ht="14.25" customHeight="1" s="35">
      <c r="A151" s="21" t="inlineStr">
        <is>
          <t>S-147</t>
        </is>
      </c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19" t="n"/>
      <c r="L151" s="19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19" t="n"/>
      <c r="AD151" s="21" t="n"/>
      <c r="AE151" s="21" t="n"/>
      <c r="AF151" s="21">
        <f>IF($H151="","",IF($T151="To find","Not started",IF(($C151="")+($D151="")+($E151="")+($G151="")+($I151="")+($M151="")+($O151="")+($S151="")&gt;0,"Missing basic details",IF(AND($T151="Downloaded",($R151="")+($U151="")+($V151="")+(($W151="")*(RIGHT(LOWER($U151),4)=".pdf"))&gt;0),"Add file details",IF(AND($T151="Downloaded",LEN($X151)&lt;&gt;64),"Check SHA-256",IF(AND($Q151="",$R151=""),"Add a URL",IF($S151="No","Not official - replace",IF($M151="Not verified","Verify status","OK"))))))))</f>
        <v/>
      </c>
      <c r="AG151" s="21" t="n"/>
      <c r="AH151" s="21" t="n"/>
      <c r="AI151" s="21" t="n"/>
    </row>
    <row r="152" ht="14.25" customHeight="1" s="35">
      <c r="A152" s="21" t="inlineStr">
        <is>
          <t>S-148</t>
        </is>
      </c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19" t="n"/>
      <c r="L152" s="19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19" t="n"/>
      <c r="AD152" s="21" t="n"/>
      <c r="AE152" s="21" t="n"/>
      <c r="AF152" s="21">
        <f>IF($H152="","",IF($T152="To find","Not started",IF(($C152="")+($D152="")+($E152="")+($G152="")+($I152="")+($M152="")+($O152="")+($S152="")&gt;0,"Missing basic details",IF(AND($T152="Downloaded",($R152="")+($U152="")+($V152="")+(($W152="")*(RIGHT(LOWER($U152),4)=".pdf"))&gt;0),"Add file details",IF(AND($T152="Downloaded",LEN($X152)&lt;&gt;64),"Check SHA-256",IF(AND($Q152="",$R152=""),"Add a URL",IF($S152="No","Not official - replace",IF($M152="Not verified","Verify status","OK"))))))))</f>
        <v/>
      </c>
      <c r="AG152" s="21" t="n"/>
      <c r="AH152" s="21" t="n"/>
      <c r="AI152" s="21" t="n"/>
    </row>
    <row r="153" ht="14.25" customHeight="1" s="35">
      <c r="A153" s="21" t="inlineStr">
        <is>
          <t>S-149</t>
        </is>
      </c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19" t="n"/>
      <c r="L153" s="19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19" t="n"/>
      <c r="AD153" s="21" t="n"/>
      <c r="AE153" s="21" t="n"/>
      <c r="AF153" s="21">
        <f>IF($H153="","",IF($T153="To find","Not started",IF(($C153="")+($D153="")+($E153="")+($G153="")+($I153="")+($M153="")+($O153="")+($S153="")&gt;0,"Missing basic details",IF(AND($T153="Downloaded",($R153="")+($U153="")+($V153="")+(($W153="")*(RIGHT(LOWER($U153),4)=".pdf"))&gt;0),"Add file details",IF(AND($T153="Downloaded",LEN($X153)&lt;&gt;64),"Check SHA-256",IF(AND($Q153="",$R153=""),"Add a URL",IF($S153="No","Not official - replace",IF($M153="Not verified","Verify status","OK"))))))))</f>
        <v/>
      </c>
      <c r="AG153" s="21" t="n"/>
      <c r="AH153" s="21" t="n"/>
      <c r="AI153" s="21" t="n"/>
    </row>
    <row r="154" ht="14.25" customHeight="1" s="35">
      <c r="A154" s="21" t="inlineStr">
        <is>
          <t>S-150</t>
        </is>
      </c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19" t="n"/>
      <c r="L154" s="19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19" t="n"/>
      <c r="AD154" s="21" t="n"/>
      <c r="AE154" s="21" t="n"/>
      <c r="AF154" s="21">
        <f>IF($H154="","",IF($T154="To find","Not started",IF(($C154="")+($D154="")+($E154="")+($G154="")+($I154="")+($M154="")+($O154="")+($S154="")&gt;0,"Missing basic details",IF(AND($T154="Downloaded",($R154="")+($U154="")+($V154="")+(($W154="")*(RIGHT(LOWER($U154),4)=".pdf"))&gt;0),"Add file details",IF(AND($T154="Downloaded",LEN($X154)&lt;&gt;64),"Check SHA-256",IF(AND($Q154="",$R154=""),"Add a URL",IF($S154="No","Not official - replace",IF($M154="Not verified","Verify status","OK"))))))))</f>
        <v/>
      </c>
      <c r="AG154" s="21" t="n"/>
      <c r="AH154" s="21" t="n"/>
      <c r="AI154" s="21" t="n"/>
    </row>
    <row r="155" ht="14.25" customHeight="1" s="35">
      <c r="A155" s="21" t="inlineStr">
        <is>
          <t>S-151</t>
        </is>
      </c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19" t="n"/>
      <c r="L155" s="19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19" t="n"/>
      <c r="AD155" s="21" t="n"/>
      <c r="AE155" s="21" t="n"/>
      <c r="AF155" s="21">
        <f>IF($H155="","",IF($T155="To find","Not started",IF(($C155="")+($D155="")+($E155="")+($G155="")+($I155="")+($M155="")+($O155="")+($S155="")&gt;0,"Missing basic details",IF(AND($T155="Downloaded",($R155="")+($U155="")+($V155="")+(($W155="")*(RIGHT(LOWER($U155),4)=".pdf"))&gt;0),"Add file details",IF(AND($T155="Downloaded",LEN($X155)&lt;&gt;64),"Check SHA-256",IF(AND($Q155="",$R155=""),"Add a URL",IF($S155="No","Not official - replace",IF($M155="Not verified","Verify status","OK"))))))))</f>
        <v/>
      </c>
      <c r="AG155" s="21" t="n"/>
      <c r="AH155" s="21" t="n"/>
      <c r="AI155" s="21" t="n"/>
    </row>
    <row r="156" ht="14.25" customHeight="1" s="35">
      <c r="A156" s="21" t="inlineStr">
        <is>
          <t>S-152</t>
        </is>
      </c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19" t="n"/>
      <c r="L156" s="19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19" t="n"/>
      <c r="AD156" s="21" t="n"/>
      <c r="AE156" s="21" t="n"/>
      <c r="AF156" s="21">
        <f>IF($H156="","",IF($T156="To find","Not started",IF(($C156="")+($D156="")+($E156="")+($G156="")+($I156="")+($M156="")+($O156="")+($S156="")&gt;0,"Missing basic details",IF(AND($T156="Downloaded",($R156="")+($U156="")+($V156="")+(($W156="")*(RIGHT(LOWER($U156),4)=".pdf"))&gt;0),"Add file details",IF(AND($T156="Downloaded",LEN($X156)&lt;&gt;64),"Check SHA-256",IF(AND($Q156="",$R156=""),"Add a URL",IF($S156="No","Not official - replace",IF($M156="Not verified","Verify status","OK"))))))))</f>
        <v/>
      </c>
      <c r="AG156" s="21" t="n"/>
      <c r="AH156" s="21" t="n"/>
      <c r="AI156" s="21" t="n"/>
    </row>
    <row r="157" ht="14.25" customHeight="1" s="35">
      <c r="A157" s="21" t="inlineStr">
        <is>
          <t>S-153</t>
        </is>
      </c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19" t="n"/>
      <c r="L157" s="19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19" t="n"/>
      <c r="AD157" s="21" t="n"/>
      <c r="AE157" s="21" t="n"/>
      <c r="AF157" s="21">
        <f>IF($H157="","",IF($T157="To find","Not started",IF(($C157="")+($D157="")+($E157="")+($G157="")+($I157="")+($M157="")+($O157="")+($S157="")&gt;0,"Missing basic details",IF(AND($T157="Downloaded",($R157="")+($U157="")+($V157="")+(($W157="")*(RIGHT(LOWER($U157),4)=".pdf"))&gt;0),"Add file details",IF(AND($T157="Downloaded",LEN($X157)&lt;&gt;64),"Check SHA-256",IF(AND($Q157="",$R157=""),"Add a URL",IF($S157="No","Not official - replace",IF($M157="Not verified","Verify status","OK"))))))))</f>
        <v/>
      </c>
      <c r="AG157" s="21" t="n"/>
      <c r="AH157" s="21" t="n"/>
      <c r="AI157" s="21" t="n"/>
    </row>
    <row r="158" ht="14.25" customHeight="1" s="35">
      <c r="A158" s="21" t="inlineStr">
        <is>
          <t>S-154</t>
        </is>
      </c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19" t="n"/>
      <c r="L158" s="19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19" t="n"/>
      <c r="AD158" s="21" t="n"/>
      <c r="AE158" s="21" t="n"/>
      <c r="AF158" s="21">
        <f>IF($H158="","",IF($T158="To find","Not started",IF(($C158="")+($D158="")+($E158="")+($G158="")+($I158="")+($M158="")+($O158="")+($S158="")&gt;0,"Missing basic details",IF(AND($T158="Downloaded",($R158="")+($U158="")+($V158="")+(($W158="")*(RIGHT(LOWER($U158),4)=".pdf"))&gt;0),"Add file details",IF(AND($T158="Downloaded",LEN($X158)&lt;&gt;64),"Check SHA-256",IF(AND($Q158="",$R158=""),"Add a URL",IF($S158="No","Not official - replace",IF($M158="Not verified","Verify status","OK"))))))))</f>
        <v/>
      </c>
      <c r="AG158" s="21" t="n"/>
      <c r="AH158" s="21" t="n"/>
      <c r="AI158" s="21" t="n"/>
    </row>
    <row r="159" ht="14.25" customHeight="1" s="35">
      <c r="A159" s="21" t="inlineStr">
        <is>
          <t>S-155</t>
        </is>
      </c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19" t="n"/>
      <c r="L159" s="19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19" t="n"/>
      <c r="AD159" s="21" t="n"/>
      <c r="AE159" s="21" t="n"/>
      <c r="AF159" s="21">
        <f>IF($H159="","",IF($T159="To find","Not started",IF(($C159="")+($D159="")+($E159="")+($G159="")+($I159="")+($M159="")+($O159="")+($S159="")&gt;0,"Missing basic details",IF(AND($T159="Downloaded",($R159="")+($U159="")+($V159="")+(($W159="")*(RIGHT(LOWER($U159),4)=".pdf"))&gt;0),"Add file details",IF(AND($T159="Downloaded",LEN($X159)&lt;&gt;64),"Check SHA-256",IF(AND($Q159="",$R159=""),"Add a URL",IF($S159="No","Not official - replace",IF($M159="Not verified","Verify status","OK"))))))))</f>
        <v/>
      </c>
      <c r="AG159" s="21" t="n"/>
      <c r="AH159" s="21" t="n"/>
      <c r="AI159" s="21" t="n"/>
    </row>
    <row r="160" ht="14.25" customHeight="1" s="35">
      <c r="A160" s="21" t="inlineStr">
        <is>
          <t>S-156</t>
        </is>
      </c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19" t="n"/>
      <c r="L160" s="19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19" t="n"/>
      <c r="AD160" s="21" t="n"/>
      <c r="AE160" s="21" t="n"/>
      <c r="AF160" s="21">
        <f>IF($H160="","",IF($T160="To find","Not started",IF(($C160="")+($D160="")+($E160="")+($G160="")+($I160="")+($M160="")+($O160="")+($S160="")&gt;0,"Missing basic details",IF(AND($T160="Downloaded",($R160="")+($U160="")+($V160="")+(($W160="")*(RIGHT(LOWER($U160),4)=".pdf"))&gt;0),"Add file details",IF(AND($T160="Downloaded",LEN($X160)&lt;&gt;64),"Check SHA-256",IF(AND($Q160="",$R160=""),"Add a URL",IF($S160="No","Not official - replace",IF($M160="Not verified","Verify status","OK"))))))))</f>
        <v/>
      </c>
      <c r="AG160" s="21" t="n"/>
      <c r="AH160" s="21" t="n"/>
      <c r="AI160" s="21" t="n"/>
    </row>
    <row r="161" ht="14.25" customHeight="1" s="35">
      <c r="A161" s="21" t="inlineStr">
        <is>
          <t>S-157</t>
        </is>
      </c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19" t="n"/>
      <c r="L161" s="19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19" t="n"/>
      <c r="AD161" s="21" t="n"/>
      <c r="AE161" s="21" t="n"/>
      <c r="AF161" s="21">
        <f>IF($H161="","",IF($T161="To find","Not started",IF(($C161="")+($D161="")+($E161="")+($G161="")+($I161="")+($M161="")+($O161="")+($S161="")&gt;0,"Missing basic details",IF(AND($T161="Downloaded",($R161="")+($U161="")+($V161="")+(($W161="")*(RIGHT(LOWER($U161),4)=".pdf"))&gt;0),"Add file details",IF(AND($T161="Downloaded",LEN($X161)&lt;&gt;64),"Check SHA-256",IF(AND($Q161="",$R161=""),"Add a URL",IF($S161="No","Not official - replace",IF($M161="Not verified","Verify status","OK"))))))))</f>
        <v/>
      </c>
      <c r="AG161" s="21" t="n"/>
      <c r="AH161" s="21" t="n"/>
      <c r="AI161" s="21" t="n"/>
    </row>
    <row r="162" ht="14.25" customHeight="1" s="35">
      <c r="A162" s="21" t="inlineStr">
        <is>
          <t>S-158</t>
        </is>
      </c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19" t="n"/>
      <c r="L162" s="19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19" t="n"/>
      <c r="AD162" s="21" t="n"/>
      <c r="AE162" s="21" t="n"/>
      <c r="AF162" s="21">
        <f>IF($H162="","",IF($T162="To find","Not started",IF(($C162="")+($D162="")+($E162="")+($G162="")+($I162="")+($M162="")+($O162="")+($S162="")&gt;0,"Missing basic details",IF(AND($T162="Downloaded",($R162="")+($U162="")+($V162="")+(($W162="")*(RIGHT(LOWER($U162),4)=".pdf"))&gt;0),"Add file details",IF(AND($T162="Downloaded",LEN($X162)&lt;&gt;64),"Check SHA-256",IF(AND($Q162="",$R162=""),"Add a URL",IF($S162="No","Not official - replace",IF($M162="Not verified","Verify status","OK"))))))))</f>
        <v/>
      </c>
      <c r="AG162" s="21" t="n"/>
      <c r="AH162" s="21" t="n"/>
      <c r="AI162" s="21" t="n"/>
    </row>
    <row r="163" ht="14.25" customHeight="1" s="35">
      <c r="A163" s="21" t="inlineStr">
        <is>
          <t>S-159</t>
        </is>
      </c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19" t="n"/>
      <c r="L163" s="19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19" t="n"/>
      <c r="AD163" s="21" t="n"/>
      <c r="AE163" s="21" t="n"/>
      <c r="AF163" s="21">
        <f>IF($H163="","",IF($T163="To find","Not started",IF(($C163="")+($D163="")+($E163="")+($G163="")+($I163="")+($M163="")+($O163="")+($S163="")&gt;0,"Missing basic details",IF(AND($T163="Downloaded",($R163="")+($U163="")+($V163="")+(($W163="")*(RIGHT(LOWER($U163),4)=".pdf"))&gt;0),"Add file details",IF(AND($T163="Downloaded",LEN($X163)&lt;&gt;64),"Check SHA-256",IF(AND($Q163="",$R163=""),"Add a URL",IF($S163="No","Not official - replace",IF($M163="Not verified","Verify status","OK"))))))))</f>
        <v/>
      </c>
      <c r="AG163" s="21" t="n"/>
      <c r="AH163" s="21" t="n"/>
      <c r="AI163" s="21" t="n"/>
    </row>
    <row r="164" ht="14.25" customHeight="1" s="35">
      <c r="A164" s="21" t="inlineStr">
        <is>
          <t>S-160</t>
        </is>
      </c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19" t="n"/>
      <c r="L164" s="19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19" t="n"/>
      <c r="AD164" s="21" t="n"/>
      <c r="AE164" s="21" t="n"/>
      <c r="AF164" s="21">
        <f>IF($H164="","",IF($T164="To find","Not started",IF(($C164="")+($D164="")+($E164="")+($G164="")+($I164="")+($M164="")+($O164="")+($S164="")&gt;0,"Missing basic details",IF(AND($T164="Downloaded",($R164="")+($U164="")+($V164="")+(($W164="")*(RIGHT(LOWER($U164),4)=".pdf"))&gt;0),"Add file details",IF(AND($T164="Downloaded",LEN($X164)&lt;&gt;64),"Check SHA-256",IF(AND($Q164="",$R164=""),"Add a URL",IF($S164="No","Not official - replace",IF($M164="Not verified","Verify status","OK"))))))))</f>
        <v/>
      </c>
      <c r="AG164" s="21" t="n"/>
      <c r="AH164" s="21" t="n"/>
      <c r="AI164" s="21" t="n"/>
    </row>
    <row r="165" ht="14.25" customHeight="1" s="35">
      <c r="A165" s="21" t="inlineStr">
        <is>
          <t>S-161</t>
        </is>
      </c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19" t="n"/>
      <c r="L165" s="19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19" t="n"/>
      <c r="AD165" s="21" t="n"/>
      <c r="AE165" s="21" t="n"/>
      <c r="AF165" s="21">
        <f>IF($H165="","",IF($T165="To find","Not started",IF(($C165="")+($D165="")+($E165="")+($G165="")+($I165="")+($M165="")+($O165="")+($S165="")&gt;0,"Missing basic details",IF(AND($T165="Downloaded",($R165="")+($U165="")+($V165="")+(($W165="")*(RIGHT(LOWER($U165),4)=".pdf"))&gt;0),"Add file details",IF(AND($T165="Downloaded",LEN($X165)&lt;&gt;64),"Check SHA-256",IF(AND($Q165="",$R165=""),"Add a URL",IF($S165="No","Not official - replace",IF($M165="Not verified","Verify status","OK"))))))))</f>
        <v/>
      </c>
      <c r="AG165" s="21" t="n"/>
      <c r="AH165" s="21" t="n"/>
      <c r="AI165" s="21" t="n"/>
    </row>
    <row r="166" ht="14.25" customHeight="1" s="35">
      <c r="A166" s="21" t="inlineStr">
        <is>
          <t>S-162</t>
        </is>
      </c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19" t="n"/>
      <c r="L166" s="19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19" t="n"/>
      <c r="AD166" s="21" t="n"/>
      <c r="AE166" s="21" t="n"/>
      <c r="AF166" s="21">
        <f>IF($H166="","",IF($T166="To find","Not started",IF(($C166="")+($D166="")+($E166="")+($G166="")+($I166="")+($M166="")+($O166="")+($S166="")&gt;0,"Missing basic details",IF(AND($T166="Downloaded",($R166="")+($U166="")+($V166="")+(($W166="")*(RIGHT(LOWER($U166),4)=".pdf"))&gt;0),"Add file details",IF(AND($T166="Downloaded",LEN($X166)&lt;&gt;64),"Check SHA-256",IF(AND($Q166="",$R166=""),"Add a URL",IF($S166="No","Not official - replace",IF($M166="Not verified","Verify status","OK"))))))))</f>
        <v/>
      </c>
      <c r="AG166" s="21" t="n"/>
      <c r="AH166" s="21" t="n"/>
      <c r="AI166" s="21" t="n"/>
    </row>
    <row r="167" ht="14.25" customHeight="1" s="35">
      <c r="A167" s="21" t="inlineStr">
        <is>
          <t>S-163</t>
        </is>
      </c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19" t="n"/>
      <c r="L167" s="19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19" t="n"/>
      <c r="AD167" s="21" t="n"/>
      <c r="AE167" s="21" t="n"/>
      <c r="AF167" s="21">
        <f>IF($H167="","",IF($T167="To find","Not started",IF(($C167="")+($D167="")+($E167="")+($G167="")+($I167="")+($M167="")+($O167="")+($S167="")&gt;0,"Missing basic details",IF(AND($T167="Downloaded",($R167="")+($U167="")+($V167="")+(($W167="")*(RIGHT(LOWER($U167),4)=".pdf"))&gt;0),"Add file details",IF(AND($T167="Downloaded",LEN($X167)&lt;&gt;64),"Check SHA-256",IF(AND($Q167="",$R167=""),"Add a URL",IF($S167="No","Not official - replace",IF($M167="Not verified","Verify status","OK"))))))))</f>
        <v/>
      </c>
      <c r="AG167" s="21" t="n"/>
      <c r="AH167" s="21" t="n"/>
      <c r="AI167" s="21" t="n"/>
    </row>
    <row r="168" ht="14.25" customHeight="1" s="35">
      <c r="A168" s="21" t="inlineStr">
        <is>
          <t>S-164</t>
        </is>
      </c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19" t="n"/>
      <c r="L168" s="19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19" t="n"/>
      <c r="AD168" s="21" t="n"/>
      <c r="AE168" s="21" t="n"/>
      <c r="AF168" s="21">
        <f>IF($H168="","",IF($T168="To find","Not started",IF(($C168="")+($D168="")+($E168="")+($G168="")+($I168="")+($M168="")+($O168="")+($S168="")&gt;0,"Missing basic details",IF(AND($T168="Downloaded",($R168="")+($U168="")+($V168="")+(($W168="")*(RIGHT(LOWER($U168),4)=".pdf"))&gt;0),"Add file details",IF(AND($T168="Downloaded",LEN($X168)&lt;&gt;64),"Check SHA-256",IF(AND($Q168="",$R168=""),"Add a URL",IF($S168="No","Not official - replace",IF($M168="Not verified","Verify status","OK"))))))))</f>
        <v/>
      </c>
      <c r="AG168" s="21" t="n"/>
      <c r="AH168" s="21" t="n"/>
      <c r="AI168" s="21" t="n"/>
    </row>
    <row r="169" ht="14.25" customHeight="1" s="35">
      <c r="A169" s="21" t="inlineStr">
        <is>
          <t>S-165</t>
        </is>
      </c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19" t="n"/>
      <c r="L169" s="19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19" t="n"/>
      <c r="AD169" s="21" t="n"/>
      <c r="AE169" s="21" t="n"/>
      <c r="AF169" s="21">
        <f>IF($H169="","",IF($T169="To find","Not started",IF(($C169="")+($D169="")+($E169="")+($G169="")+($I169="")+($M169="")+($O169="")+($S169="")&gt;0,"Missing basic details",IF(AND($T169="Downloaded",($R169="")+($U169="")+($V169="")+(($W169="")*(RIGHT(LOWER($U169),4)=".pdf"))&gt;0),"Add file details",IF(AND($T169="Downloaded",LEN($X169)&lt;&gt;64),"Check SHA-256",IF(AND($Q169="",$R169=""),"Add a URL",IF($S169="No","Not official - replace",IF($M169="Not verified","Verify status","OK"))))))))</f>
        <v/>
      </c>
      <c r="AG169" s="21" t="n"/>
      <c r="AH169" s="21" t="n"/>
      <c r="AI169" s="21" t="n"/>
    </row>
    <row r="170" ht="14.25" customHeight="1" s="35">
      <c r="A170" s="21" t="inlineStr">
        <is>
          <t>S-166</t>
        </is>
      </c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19" t="n"/>
      <c r="L170" s="19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19" t="n"/>
      <c r="AD170" s="21" t="n"/>
      <c r="AE170" s="21" t="n"/>
      <c r="AF170" s="21">
        <f>IF($H170="","",IF($T170="To find","Not started",IF(($C170="")+($D170="")+($E170="")+($G170="")+($I170="")+($M170="")+($O170="")+($S170="")&gt;0,"Missing basic details",IF(AND($T170="Downloaded",($R170="")+($U170="")+($V170="")+(($W170="")*(RIGHT(LOWER($U170),4)=".pdf"))&gt;0),"Add file details",IF(AND($T170="Downloaded",LEN($X170)&lt;&gt;64),"Check SHA-256",IF(AND($Q170="",$R170=""),"Add a URL",IF($S170="No","Not official - replace",IF($M170="Not verified","Verify status","OK"))))))))</f>
        <v/>
      </c>
      <c r="AG170" s="21" t="n"/>
      <c r="AH170" s="21" t="n"/>
      <c r="AI170" s="21" t="n"/>
    </row>
    <row r="171" ht="14.25" customHeight="1" s="35">
      <c r="A171" s="21" t="inlineStr">
        <is>
          <t>S-167</t>
        </is>
      </c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19" t="n"/>
      <c r="L171" s="19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19" t="n"/>
      <c r="AD171" s="21" t="n"/>
      <c r="AE171" s="21" t="n"/>
      <c r="AF171" s="21">
        <f>IF($H171="","",IF($T171="To find","Not started",IF(($C171="")+($D171="")+($E171="")+($G171="")+($I171="")+($M171="")+($O171="")+($S171="")&gt;0,"Missing basic details",IF(AND($T171="Downloaded",($R171="")+($U171="")+($V171="")+(($W171="")*(RIGHT(LOWER($U171),4)=".pdf"))&gt;0),"Add file details",IF(AND($T171="Downloaded",LEN($X171)&lt;&gt;64),"Check SHA-256",IF(AND($Q171="",$R171=""),"Add a URL",IF($S171="No","Not official - replace",IF($M171="Not verified","Verify status","OK"))))))))</f>
        <v/>
      </c>
      <c r="AG171" s="21" t="n"/>
      <c r="AH171" s="21" t="n"/>
      <c r="AI171" s="21" t="n"/>
    </row>
    <row r="172" ht="14.25" customHeight="1" s="35">
      <c r="A172" s="21" t="inlineStr">
        <is>
          <t>S-168</t>
        </is>
      </c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19" t="n"/>
      <c r="L172" s="19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19" t="n"/>
      <c r="AD172" s="21" t="n"/>
      <c r="AE172" s="21" t="n"/>
      <c r="AF172" s="21">
        <f>IF($H172="","",IF($T172="To find","Not started",IF(($C172="")+($D172="")+($E172="")+($G172="")+($I172="")+($M172="")+($O172="")+($S172="")&gt;0,"Missing basic details",IF(AND($T172="Downloaded",($R172="")+($U172="")+($V172="")+(($W172="")*(RIGHT(LOWER($U172),4)=".pdf"))&gt;0),"Add file details",IF(AND($T172="Downloaded",LEN($X172)&lt;&gt;64),"Check SHA-256",IF(AND($Q172="",$R172=""),"Add a URL",IF($S172="No","Not official - replace",IF($M172="Not verified","Verify status","OK"))))))))</f>
        <v/>
      </c>
      <c r="AG172" s="21" t="n"/>
      <c r="AH172" s="21" t="n"/>
      <c r="AI172" s="21" t="n"/>
    </row>
    <row r="173" ht="14.25" customHeight="1" s="35">
      <c r="A173" s="21" t="inlineStr">
        <is>
          <t>S-169</t>
        </is>
      </c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19" t="n"/>
      <c r="L173" s="19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19" t="n"/>
      <c r="AD173" s="21" t="n"/>
      <c r="AE173" s="21" t="n"/>
      <c r="AF173" s="21">
        <f>IF($H173="","",IF($T173="To find","Not started",IF(($C173="")+($D173="")+($E173="")+($G173="")+($I173="")+($M173="")+($O173="")+($S173="")&gt;0,"Missing basic details",IF(AND($T173="Downloaded",($R173="")+($U173="")+($V173="")+(($W173="")*(RIGHT(LOWER($U173),4)=".pdf"))&gt;0),"Add file details",IF(AND($T173="Downloaded",LEN($X173)&lt;&gt;64),"Check SHA-256",IF(AND($Q173="",$R173=""),"Add a URL",IF($S173="No","Not official - replace",IF($M173="Not verified","Verify status","OK"))))))))</f>
        <v/>
      </c>
      <c r="AG173" s="21" t="n"/>
      <c r="AH173" s="21" t="n"/>
      <c r="AI173" s="21" t="n"/>
    </row>
    <row r="174" ht="14.25" customHeight="1" s="35">
      <c r="A174" s="21" t="inlineStr">
        <is>
          <t>S-170</t>
        </is>
      </c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19" t="n"/>
      <c r="L174" s="19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19" t="n"/>
      <c r="AD174" s="21" t="n"/>
      <c r="AE174" s="21" t="n"/>
      <c r="AF174" s="21">
        <f>IF($H174="","",IF($T174="To find","Not started",IF(($C174="")+($D174="")+($E174="")+($G174="")+($I174="")+($M174="")+($O174="")+($S174="")&gt;0,"Missing basic details",IF(AND($T174="Downloaded",($R174="")+($U174="")+($V174="")+(($W174="")*(RIGHT(LOWER($U174),4)=".pdf"))&gt;0),"Add file details",IF(AND($T174="Downloaded",LEN($X174)&lt;&gt;64),"Check SHA-256",IF(AND($Q174="",$R174=""),"Add a URL",IF($S174="No","Not official - replace",IF($M174="Not verified","Verify status","OK"))))))))</f>
        <v/>
      </c>
      <c r="AG174" s="21" t="n"/>
      <c r="AH174" s="21" t="n"/>
      <c r="AI174" s="21" t="n"/>
    </row>
    <row r="175" ht="14.25" customHeight="1" s="35">
      <c r="A175" s="21" t="inlineStr">
        <is>
          <t>S-171</t>
        </is>
      </c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19" t="n"/>
      <c r="L175" s="19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19" t="n"/>
      <c r="AD175" s="21" t="n"/>
      <c r="AE175" s="21" t="n"/>
      <c r="AF175" s="21">
        <f>IF($H175="","",IF($T175="To find","Not started",IF(($C175="")+($D175="")+($E175="")+($G175="")+($I175="")+($M175="")+($O175="")+($S175="")&gt;0,"Missing basic details",IF(AND($T175="Downloaded",($R175="")+($U175="")+($V175="")+(($W175="")*(RIGHT(LOWER($U175),4)=".pdf"))&gt;0),"Add file details",IF(AND($T175="Downloaded",LEN($X175)&lt;&gt;64),"Check SHA-256",IF(AND($Q175="",$R175=""),"Add a URL",IF($S175="No","Not official - replace",IF($M175="Not verified","Verify status","OK"))))))))</f>
        <v/>
      </c>
      <c r="AG175" s="21" t="n"/>
      <c r="AH175" s="21" t="n"/>
      <c r="AI175" s="21" t="n"/>
    </row>
    <row r="176" ht="14.25" customHeight="1" s="35">
      <c r="A176" s="21" t="inlineStr">
        <is>
          <t>S-172</t>
        </is>
      </c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19" t="n"/>
      <c r="L176" s="19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19" t="n"/>
      <c r="AD176" s="21" t="n"/>
      <c r="AE176" s="21" t="n"/>
      <c r="AF176" s="21">
        <f>IF($H176="","",IF($T176="To find","Not started",IF(($C176="")+($D176="")+($E176="")+($G176="")+($I176="")+($M176="")+($O176="")+($S176="")&gt;0,"Missing basic details",IF(AND($T176="Downloaded",($R176="")+($U176="")+($V176="")+(($W176="")*(RIGHT(LOWER($U176),4)=".pdf"))&gt;0),"Add file details",IF(AND($T176="Downloaded",LEN($X176)&lt;&gt;64),"Check SHA-256",IF(AND($Q176="",$R176=""),"Add a URL",IF($S176="No","Not official - replace",IF($M176="Not verified","Verify status","OK"))))))))</f>
        <v/>
      </c>
      <c r="AG176" s="21" t="n"/>
      <c r="AH176" s="21" t="n"/>
      <c r="AI176" s="21" t="n"/>
    </row>
    <row r="177" ht="14.25" customHeight="1" s="35">
      <c r="A177" s="21" t="inlineStr">
        <is>
          <t>S-173</t>
        </is>
      </c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19" t="n"/>
      <c r="L177" s="19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19" t="n"/>
      <c r="AD177" s="21" t="n"/>
      <c r="AE177" s="21" t="n"/>
      <c r="AF177" s="21">
        <f>IF($H177="","",IF($T177="To find","Not started",IF(($C177="")+($D177="")+($E177="")+($G177="")+($I177="")+($M177="")+($O177="")+($S177="")&gt;0,"Missing basic details",IF(AND($T177="Downloaded",($R177="")+($U177="")+($V177="")+(($W177="")*(RIGHT(LOWER($U177),4)=".pdf"))&gt;0),"Add file details",IF(AND($T177="Downloaded",LEN($X177)&lt;&gt;64),"Check SHA-256",IF(AND($Q177="",$R177=""),"Add a URL",IF($S177="No","Not official - replace",IF($M177="Not verified","Verify status","OK"))))))))</f>
        <v/>
      </c>
      <c r="AG177" s="21" t="n"/>
      <c r="AH177" s="21" t="n"/>
      <c r="AI177" s="21" t="n"/>
    </row>
    <row r="178" ht="14.25" customHeight="1" s="35">
      <c r="A178" s="21" t="inlineStr">
        <is>
          <t>S-174</t>
        </is>
      </c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19" t="n"/>
      <c r="L178" s="19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19" t="n"/>
      <c r="AD178" s="21" t="n"/>
      <c r="AE178" s="21" t="n"/>
      <c r="AF178" s="21">
        <f>IF($H178="","",IF($T178="To find","Not started",IF(($C178="")+($D178="")+($E178="")+($G178="")+($I178="")+($M178="")+($O178="")+($S178="")&gt;0,"Missing basic details",IF(AND($T178="Downloaded",($R178="")+($U178="")+($V178="")+(($W178="")*(RIGHT(LOWER($U178),4)=".pdf"))&gt;0),"Add file details",IF(AND($T178="Downloaded",LEN($X178)&lt;&gt;64),"Check SHA-256",IF(AND($Q178="",$R178=""),"Add a URL",IF($S178="No","Not official - replace",IF($M178="Not verified","Verify status","OK"))))))))</f>
        <v/>
      </c>
      <c r="AG178" s="21" t="n"/>
      <c r="AH178" s="21" t="n"/>
      <c r="AI178" s="21" t="n"/>
    </row>
    <row r="179" ht="14.25" customHeight="1" s="35">
      <c r="A179" s="21" t="inlineStr">
        <is>
          <t>S-175</t>
        </is>
      </c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19" t="n"/>
      <c r="L179" s="19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19" t="n"/>
      <c r="AD179" s="21" t="n"/>
      <c r="AE179" s="21" t="n"/>
      <c r="AF179" s="21">
        <f>IF($H179="","",IF($T179="To find","Not started",IF(($C179="")+($D179="")+($E179="")+($G179="")+($I179="")+($M179="")+($O179="")+($S179="")&gt;0,"Missing basic details",IF(AND($T179="Downloaded",($R179="")+($U179="")+($V179="")+(($W179="")*(RIGHT(LOWER($U179),4)=".pdf"))&gt;0),"Add file details",IF(AND($T179="Downloaded",LEN($X179)&lt;&gt;64),"Check SHA-256",IF(AND($Q179="",$R179=""),"Add a URL",IF($S179="No","Not official - replace",IF($M179="Not verified","Verify status","OK"))))))))</f>
        <v/>
      </c>
      <c r="AG179" s="21" t="n"/>
      <c r="AH179" s="21" t="n"/>
      <c r="AI179" s="21" t="n"/>
    </row>
    <row r="180" ht="14.25" customHeight="1" s="35">
      <c r="A180" s="21" t="inlineStr">
        <is>
          <t>S-176</t>
        </is>
      </c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19" t="n"/>
      <c r="L180" s="19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19" t="n"/>
      <c r="AD180" s="21" t="n"/>
      <c r="AE180" s="21" t="n"/>
      <c r="AF180" s="21">
        <f>IF($H180="","",IF($T180="To find","Not started",IF(($C180="")+($D180="")+($E180="")+($G180="")+($I180="")+($M180="")+($O180="")+($S180="")&gt;0,"Missing basic details",IF(AND($T180="Downloaded",($R180="")+($U180="")+($V180="")+(($W180="")*(RIGHT(LOWER($U180),4)=".pdf"))&gt;0),"Add file details",IF(AND($T180="Downloaded",LEN($X180)&lt;&gt;64),"Check SHA-256",IF(AND($Q180="",$R180=""),"Add a URL",IF($S180="No","Not official - replace",IF($M180="Not verified","Verify status","OK"))))))))</f>
        <v/>
      </c>
      <c r="AG180" s="21" t="n"/>
      <c r="AH180" s="21" t="n"/>
      <c r="AI180" s="21" t="n"/>
    </row>
    <row r="181" ht="14.25" customHeight="1" s="35">
      <c r="A181" s="21" t="inlineStr">
        <is>
          <t>S-177</t>
        </is>
      </c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19" t="n"/>
      <c r="L181" s="19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19" t="n"/>
      <c r="AD181" s="21" t="n"/>
      <c r="AE181" s="21" t="n"/>
      <c r="AF181" s="21">
        <f>IF($H181="","",IF($T181="To find","Not started",IF(($C181="")+($D181="")+($E181="")+($G181="")+($I181="")+($M181="")+($O181="")+($S181="")&gt;0,"Missing basic details",IF(AND($T181="Downloaded",($R181="")+($U181="")+($V181="")+(($W181="")*(RIGHT(LOWER($U181),4)=".pdf"))&gt;0),"Add file details",IF(AND($T181="Downloaded",LEN($X181)&lt;&gt;64),"Check SHA-256",IF(AND($Q181="",$R181=""),"Add a URL",IF($S181="No","Not official - replace",IF($M181="Not verified","Verify status","OK"))))))))</f>
        <v/>
      </c>
      <c r="AG181" s="21" t="n"/>
      <c r="AH181" s="21" t="n"/>
      <c r="AI181" s="21" t="n"/>
    </row>
    <row r="182" ht="14.25" customHeight="1" s="35">
      <c r="A182" s="21" t="inlineStr">
        <is>
          <t>S-178</t>
        </is>
      </c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19" t="n"/>
      <c r="L182" s="19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19" t="n"/>
      <c r="AD182" s="21" t="n"/>
      <c r="AE182" s="21" t="n"/>
      <c r="AF182" s="21">
        <f>IF($H182="","",IF($T182="To find","Not started",IF(($C182="")+($D182="")+($E182="")+($G182="")+($I182="")+($M182="")+($O182="")+($S182="")&gt;0,"Missing basic details",IF(AND($T182="Downloaded",($R182="")+($U182="")+($V182="")+(($W182="")*(RIGHT(LOWER($U182),4)=".pdf"))&gt;0),"Add file details",IF(AND($T182="Downloaded",LEN($X182)&lt;&gt;64),"Check SHA-256",IF(AND($Q182="",$R182=""),"Add a URL",IF($S182="No","Not official - replace",IF($M182="Not verified","Verify status","OK"))))))))</f>
        <v/>
      </c>
      <c r="AG182" s="21" t="n"/>
      <c r="AH182" s="21" t="n"/>
      <c r="AI182" s="21" t="n"/>
    </row>
    <row r="183" ht="14.25" customHeight="1" s="35">
      <c r="A183" s="21" t="inlineStr">
        <is>
          <t>S-179</t>
        </is>
      </c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19" t="n"/>
      <c r="L183" s="19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19" t="n"/>
      <c r="AD183" s="21" t="n"/>
      <c r="AE183" s="21" t="n"/>
      <c r="AF183" s="21">
        <f>IF($H183="","",IF($T183="To find","Not started",IF(($C183="")+($D183="")+($E183="")+($G183="")+($I183="")+($M183="")+($O183="")+($S183="")&gt;0,"Missing basic details",IF(AND($T183="Downloaded",($R183="")+($U183="")+($V183="")+(($W183="")*(RIGHT(LOWER($U183),4)=".pdf"))&gt;0),"Add file details",IF(AND($T183="Downloaded",LEN($X183)&lt;&gt;64),"Check SHA-256",IF(AND($Q183="",$R183=""),"Add a URL",IF($S183="No","Not official - replace",IF($M183="Not verified","Verify status","OK"))))))))</f>
        <v/>
      </c>
      <c r="AG183" s="21" t="n"/>
      <c r="AH183" s="21" t="n"/>
      <c r="AI183" s="21" t="n"/>
    </row>
    <row r="184" ht="14.25" customHeight="1" s="35">
      <c r="A184" s="21" t="inlineStr">
        <is>
          <t>S-180</t>
        </is>
      </c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19" t="n"/>
      <c r="L184" s="19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19" t="n"/>
      <c r="AD184" s="21" t="n"/>
      <c r="AE184" s="21" t="n"/>
      <c r="AF184" s="21">
        <f>IF($H184="","",IF($T184="To find","Not started",IF(($C184="")+($D184="")+($E184="")+($G184="")+($I184="")+($M184="")+($O184="")+($S184="")&gt;0,"Missing basic details",IF(AND($T184="Downloaded",($R184="")+($U184="")+($V184="")+(($W184="")*(RIGHT(LOWER($U184),4)=".pdf"))&gt;0),"Add file details",IF(AND($T184="Downloaded",LEN($X184)&lt;&gt;64),"Check SHA-256",IF(AND($Q184="",$R184=""),"Add a URL",IF($S184="No","Not official - replace",IF($M184="Not verified","Verify status","OK"))))))))</f>
        <v/>
      </c>
      <c r="AG184" s="21" t="n"/>
      <c r="AH184" s="21" t="n"/>
      <c r="AI184" s="21" t="n"/>
    </row>
    <row r="185" ht="14.25" customHeight="1" s="35">
      <c r="A185" s="21" t="inlineStr">
        <is>
          <t>S-181</t>
        </is>
      </c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19" t="n"/>
      <c r="L185" s="19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19" t="n"/>
      <c r="AD185" s="21" t="n"/>
      <c r="AE185" s="21" t="n"/>
      <c r="AF185" s="21">
        <f>IF($H185="","",IF($T185="To find","Not started",IF(($C185="")+($D185="")+($E185="")+($G185="")+($I185="")+($M185="")+($O185="")+($S185="")&gt;0,"Missing basic details",IF(AND($T185="Downloaded",($R185="")+($U185="")+($V185="")+(($W185="")*(RIGHT(LOWER($U185),4)=".pdf"))&gt;0),"Add file details",IF(AND($T185="Downloaded",LEN($X185)&lt;&gt;64),"Check SHA-256",IF(AND($Q185="",$R185=""),"Add a URL",IF($S185="No","Not official - replace",IF($M185="Not verified","Verify status","OK"))))))))</f>
        <v/>
      </c>
      <c r="AG185" s="21" t="n"/>
      <c r="AH185" s="21" t="n"/>
      <c r="AI185" s="21" t="n"/>
    </row>
    <row r="186" ht="14.25" customHeight="1" s="35">
      <c r="A186" s="21" t="inlineStr">
        <is>
          <t>S-182</t>
        </is>
      </c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19" t="n"/>
      <c r="L186" s="19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19" t="n"/>
      <c r="AD186" s="21" t="n"/>
      <c r="AE186" s="21" t="n"/>
      <c r="AF186" s="21">
        <f>IF($H186="","",IF($T186="To find","Not started",IF(($C186="")+($D186="")+($E186="")+($G186="")+($I186="")+($M186="")+($O186="")+($S186="")&gt;0,"Missing basic details",IF(AND($T186="Downloaded",($R186="")+($U186="")+($V186="")+(($W186="")*(RIGHT(LOWER($U186),4)=".pdf"))&gt;0),"Add file details",IF(AND($T186="Downloaded",LEN($X186)&lt;&gt;64),"Check SHA-256",IF(AND($Q186="",$R186=""),"Add a URL",IF($S186="No","Not official - replace",IF($M186="Not verified","Verify status","OK"))))))))</f>
        <v/>
      </c>
      <c r="AG186" s="21" t="n"/>
      <c r="AH186" s="21" t="n"/>
      <c r="AI186" s="21" t="n"/>
    </row>
    <row r="187" ht="14.25" customHeight="1" s="35">
      <c r="A187" s="21" t="inlineStr">
        <is>
          <t>S-183</t>
        </is>
      </c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19" t="n"/>
      <c r="L187" s="19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19" t="n"/>
      <c r="AD187" s="21" t="n"/>
      <c r="AE187" s="21" t="n"/>
      <c r="AF187" s="21">
        <f>IF($H187="","",IF($T187="To find","Not started",IF(($C187="")+($D187="")+($E187="")+($G187="")+($I187="")+($M187="")+($O187="")+($S187="")&gt;0,"Missing basic details",IF(AND($T187="Downloaded",($R187="")+($U187="")+($V187="")+(($W187="")*(RIGHT(LOWER($U187),4)=".pdf"))&gt;0),"Add file details",IF(AND($T187="Downloaded",LEN($X187)&lt;&gt;64),"Check SHA-256",IF(AND($Q187="",$R187=""),"Add a URL",IF($S187="No","Not official - replace",IF($M187="Not verified","Verify status","OK"))))))))</f>
        <v/>
      </c>
      <c r="AG187" s="21" t="n"/>
      <c r="AH187" s="21" t="n"/>
      <c r="AI187" s="21" t="n"/>
    </row>
    <row r="188" ht="14.25" customHeight="1" s="35">
      <c r="A188" s="21" t="inlineStr">
        <is>
          <t>S-184</t>
        </is>
      </c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19" t="n"/>
      <c r="L188" s="19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19" t="n"/>
      <c r="AD188" s="21" t="n"/>
      <c r="AE188" s="21" t="n"/>
      <c r="AF188" s="21">
        <f>IF($H188="","",IF($T188="To find","Not started",IF(($C188="")+($D188="")+($E188="")+($G188="")+($I188="")+($M188="")+($O188="")+($S188="")&gt;0,"Missing basic details",IF(AND($T188="Downloaded",($R188="")+($U188="")+($V188="")+(($W188="")*(RIGHT(LOWER($U188),4)=".pdf"))&gt;0),"Add file details",IF(AND($T188="Downloaded",LEN($X188)&lt;&gt;64),"Check SHA-256",IF(AND($Q188="",$R188=""),"Add a URL",IF($S188="No","Not official - replace",IF($M188="Not verified","Verify status","OK"))))))))</f>
        <v/>
      </c>
      <c r="AG188" s="21" t="n"/>
      <c r="AH188" s="21" t="n"/>
      <c r="AI188" s="21" t="n"/>
    </row>
    <row r="189" ht="14.25" customHeight="1" s="35">
      <c r="A189" s="21" t="inlineStr">
        <is>
          <t>S-185</t>
        </is>
      </c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19" t="n"/>
      <c r="L189" s="19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19" t="n"/>
      <c r="AD189" s="21" t="n"/>
      <c r="AE189" s="21" t="n"/>
      <c r="AF189" s="21">
        <f>IF($H189="","",IF($T189="To find","Not started",IF(($C189="")+($D189="")+($E189="")+($G189="")+($I189="")+($M189="")+($O189="")+($S189="")&gt;0,"Missing basic details",IF(AND($T189="Downloaded",($R189="")+($U189="")+($V189="")+(($W189="")*(RIGHT(LOWER($U189),4)=".pdf"))&gt;0),"Add file details",IF(AND($T189="Downloaded",LEN($X189)&lt;&gt;64),"Check SHA-256",IF(AND($Q189="",$R189=""),"Add a URL",IF($S189="No","Not official - replace",IF($M189="Not verified","Verify status","OK"))))))))</f>
        <v/>
      </c>
      <c r="AG189" s="21" t="n"/>
      <c r="AH189" s="21" t="n"/>
      <c r="AI189" s="21" t="n"/>
    </row>
    <row r="190" ht="14.25" customHeight="1" s="35">
      <c r="A190" s="21" t="inlineStr">
        <is>
          <t>S-186</t>
        </is>
      </c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19" t="n"/>
      <c r="L190" s="19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19" t="n"/>
      <c r="AD190" s="21" t="n"/>
      <c r="AE190" s="21" t="n"/>
      <c r="AF190" s="21">
        <f>IF($H190="","",IF($T190="To find","Not started",IF(($C190="")+($D190="")+($E190="")+($G190="")+($I190="")+($M190="")+($O190="")+($S190="")&gt;0,"Missing basic details",IF(AND($T190="Downloaded",($R190="")+($U190="")+($V190="")+(($W190="")*(RIGHT(LOWER($U190),4)=".pdf"))&gt;0),"Add file details",IF(AND($T190="Downloaded",LEN($X190)&lt;&gt;64),"Check SHA-256",IF(AND($Q190="",$R190=""),"Add a URL",IF($S190="No","Not official - replace",IF($M190="Not verified","Verify status","OK"))))))))</f>
        <v/>
      </c>
      <c r="AG190" s="21" t="n"/>
      <c r="AH190" s="21" t="n"/>
      <c r="AI190" s="21" t="n"/>
    </row>
    <row r="191" ht="14.25" customHeight="1" s="35">
      <c r="A191" s="21" t="inlineStr">
        <is>
          <t>S-187</t>
        </is>
      </c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19" t="n"/>
      <c r="L191" s="19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19" t="n"/>
      <c r="AD191" s="21" t="n"/>
      <c r="AE191" s="21" t="n"/>
      <c r="AF191" s="21">
        <f>IF($H191="","",IF($T191="To find","Not started",IF(($C191="")+($D191="")+($E191="")+($G191="")+($I191="")+($M191="")+($O191="")+($S191="")&gt;0,"Missing basic details",IF(AND($T191="Downloaded",($R191="")+($U191="")+($V191="")+(($W191="")*(RIGHT(LOWER($U191),4)=".pdf"))&gt;0),"Add file details",IF(AND($T191="Downloaded",LEN($X191)&lt;&gt;64),"Check SHA-256",IF(AND($Q191="",$R191=""),"Add a URL",IF($S191="No","Not official - replace",IF($M191="Not verified","Verify status","OK"))))))))</f>
        <v/>
      </c>
      <c r="AG191" s="21" t="n"/>
      <c r="AH191" s="21" t="n"/>
      <c r="AI191" s="21" t="n"/>
    </row>
    <row r="192" ht="14.25" customHeight="1" s="35">
      <c r="A192" s="21" t="inlineStr">
        <is>
          <t>S-188</t>
        </is>
      </c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19" t="n"/>
      <c r="L192" s="19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19" t="n"/>
      <c r="AD192" s="21" t="n"/>
      <c r="AE192" s="21" t="n"/>
      <c r="AF192" s="21">
        <f>IF($H192="","",IF($T192="To find","Not started",IF(($C192="")+($D192="")+($E192="")+($G192="")+($I192="")+($M192="")+($O192="")+($S192="")&gt;0,"Missing basic details",IF(AND($T192="Downloaded",($R192="")+($U192="")+($V192="")+(($W192="")*(RIGHT(LOWER($U192),4)=".pdf"))&gt;0),"Add file details",IF(AND($T192="Downloaded",LEN($X192)&lt;&gt;64),"Check SHA-256",IF(AND($Q192="",$R192=""),"Add a URL",IF($S192="No","Not official - replace",IF($M192="Not verified","Verify status","OK"))))))))</f>
        <v/>
      </c>
      <c r="AG192" s="21" t="n"/>
      <c r="AH192" s="21" t="n"/>
      <c r="AI192" s="21" t="n"/>
    </row>
    <row r="193" ht="14.25" customHeight="1" s="35">
      <c r="A193" s="21" t="inlineStr">
        <is>
          <t>S-189</t>
        </is>
      </c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19" t="n"/>
      <c r="L193" s="19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19" t="n"/>
      <c r="AD193" s="21" t="n"/>
      <c r="AE193" s="21" t="n"/>
      <c r="AF193" s="21">
        <f>IF($H193="","",IF($T193="To find","Not started",IF(($C193="")+($D193="")+($E193="")+($G193="")+($I193="")+($M193="")+($O193="")+($S193="")&gt;0,"Missing basic details",IF(AND($T193="Downloaded",($R193="")+($U193="")+($V193="")+(($W193="")*(RIGHT(LOWER($U193),4)=".pdf"))&gt;0),"Add file details",IF(AND($T193="Downloaded",LEN($X193)&lt;&gt;64),"Check SHA-256",IF(AND($Q193="",$R193=""),"Add a URL",IF($S193="No","Not official - replace",IF($M193="Not verified","Verify status","OK"))))))))</f>
        <v/>
      </c>
      <c r="AG193" s="21" t="n"/>
      <c r="AH193" s="21" t="n"/>
      <c r="AI193" s="21" t="n"/>
    </row>
    <row r="194" ht="14.25" customHeight="1" s="35">
      <c r="A194" s="21" t="inlineStr">
        <is>
          <t>S-190</t>
        </is>
      </c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19" t="n"/>
      <c r="L194" s="19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19" t="n"/>
      <c r="AD194" s="21" t="n"/>
      <c r="AE194" s="21" t="n"/>
      <c r="AF194" s="21">
        <f>IF($H194="","",IF($T194="To find","Not started",IF(($C194="")+($D194="")+($E194="")+($G194="")+($I194="")+($M194="")+($O194="")+($S194="")&gt;0,"Missing basic details",IF(AND($T194="Downloaded",($R194="")+($U194="")+($V194="")+(($W194="")*(RIGHT(LOWER($U194),4)=".pdf"))&gt;0),"Add file details",IF(AND($T194="Downloaded",LEN($X194)&lt;&gt;64),"Check SHA-256",IF(AND($Q194="",$R194=""),"Add a URL",IF($S194="No","Not official - replace",IF($M194="Not verified","Verify status","OK"))))))))</f>
        <v/>
      </c>
      <c r="AG194" s="21" t="n"/>
      <c r="AH194" s="21" t="n"/>
      <c r="AI194" s="21" t="n"/>
    </row>
    <row r="195" ht="14.25" customHeight="1" s="35">
      <c r="A195" s="21" t="inlineStr">
        <is>
          <t>S-191</t>
        </is>
      </c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19" t="n"/>
      <c r="L195" s="19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19" t="n"/>
      <c r="AD195" s="21" t="n"/>
      <c r="AE195" s="21" t="n"/>
      <c r="AF195" s="21">
        <f>IF($H195="","",IF($T195="To find","Not started",IF(($C195="")+($D195="")+($E195="")+($G195="")+($I195="")+($M195="")+($O195="")+($S195="")&gt;0,"Missing basic details",IF(AND($T195="Downloaded",($R195="")+($U195="")+($V195="")+(($W195="")*(RIGHT(LOWER($U195),4)=".pdf"))&gt;0),"Add file details",IF(AND($T195="Downloaded",LEN($X195)&lt;&gt;64),"Check SHA-256",IF(AND($Q195="",$R195=""),"Add a URL",IF($S195="No","Not official - replace",IF($M195="Not verified","Verify status","OK"))))))))</f>
        <v/>
      </c>
      <c r="AG195" s="21" t="n"/>
      <c r="AH195" s="21" t="n"/>
      <c r="AI195" s="21" t="n"/>
    </row>
    <row r="196" ht="14.25" customHeight="1" s="35">
      <c r="A196" s="21" t="inlineStr">
        <is>
          <t>S-192</t>
        </is>
      </c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19" t="n"/>
      <c r="L196" s="19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19" t="n"/>
      <c r="AD196" s="21" t="n"/>
      <c r="AE196" s="21" t="n"/>
      <c r="AF196" s="21">
        <f>IF($H196="","",IF($T196="To find","Not started",IF(($C196="")+($D196="")+($E196="")+($G196="")+($I196="")+($M196="")+($O196="")+($S196="")&gt;0,"Missing basic details",IF(AND($T196="Downloaded",($R196="")+($U196="")+($V196="")+(($W196="")*(RIGHT(LOWER($U196),4)=".pdf"))&gt;0),"Add file details",IF(AND($T196="Downloaded",LEN($X196)&lt;&gt;64),"Check SHA-256",IF(AND($Q196="",$R196=""),"Add a URL",IF($S196="No","Not official - replace",IF($M196="Not verified","Verify status","OK"))))))))</f>
        <v/>
      </c>
      <c r="AG196" s="21" t="n"/>
      <c r="AH196" s="21" t="n"/>
      <c r="AI196" s="21" t="n"/>
    </row>
    <row r="197" ht="14.25" customHeight="1" s="35">
      <c r="A197" s="21" t="inlineStr">
        <is>
          <t>S-193</t>
        </is>
      </c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19" t="n"/>
      <c r="L197" s="19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19" t="n"/>
      <c r="AD197" s="21" t="n"/>
      <c r="AE197" s="21" t="n"/>
      <c r="AF197" s="21">
        <f>IF($H197="","",IF($T197="To find","Not started",IF(($C197="")+($D197="")+($E197="")+($G197="")+($I197="")+($M197="")+($O197="")+($S197="")&gt;0,"Missing basic details",IF(AND($T197="Downloaded",($R197="")+($U197="")+($V197="")+(($W197="")*(RIGHT(LOWER($U197),4)=".pdf"))&gt;0),"Add file details",IF(AND($T197="Downloaded",LEN($X197)&lt;&gt;64),"Check SHA-256",IF(AND($Q197="",$R197=""),"Add a URL",IF($S197="No","Not official - replace",IF($M197="Not verified","Verify status","OK"))))))))</f>
        <v/>
      </c>
      <c r="AG197" s="21" t="n"/>
      <c r="AH197" s="21" t="n"/>
      <c r="AI197" s="21" t="n"/>
    </row>
    <row r="198" ht="14.25" customHeight="1" s="35">
      <c r="A198" s="21" t="inlineStr">
        <is>
          <t>S-194</t>
        </is>
      </c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19" t="n"/>
      <c r="L198" s="19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19" t="n"/>
      <c r="AD198" s="21" t="n"/>
      <c r="AE198" s="21" t="n"/>
      <c r="AF198" s="21">
        <f>IF($H198="","",IF($T198="To find","Not started",IF(($C198="")+($D198="")+($E198="")+($G198="")+($I198="")+($M198="")+($O198="")+($S198="")&gt;0,"Missing basic details",IF(AND($T198="Downloaded",($R198="")+($U198="")+($V198="")+(($W198="")*(RIGHT(LOWER($U198),4)=".pdf"))&gt;0),"Add file details",IF(AND($T198="Downloaded",LEN($X198)&lt;&gt;64),"Check SHA-256",IF(AND($Q198="",$R198=""),"Add a URL",IF($S198="No","Not official - replace",IF($M198="Not verified","Verify status","OK"))))))))</f>
        <v/>
      </c>
      <c r="AG198" s="21" t="n"/>
      <c r="AH198" s="21" t="n"/>
      <c r="AI198" s="21" t="n"/>
    </row>
    <row r="199" ht="14.25" customHeight="1" s="35">
      <c r="A199" s="21" t="inlineStr">
        <is>
          <t>S-195</t>
        </is>
      </c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19" t="n"/>
      <c r="L199" s="19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19" t="n"/>
      <c r="AD199" s="21" t="n"/>
      <c r="AE199" s="21" t="n"/>
      <c r="AF199" s="21">
        <f>IF($H199="","",IF($T199="To find","Not started",IF(($C199="")+($D199="")+($E199="")+($G199="")+($I199="")+($M199="")+($O199="")+($S199="")&gt;0,"Missing basic details",IF(AND($T199="Downloaded",($R199="")+($U199="")+($V199="")+(($W199="")*(RIGHT(LOWER($U199),4)=".pdf"))&gt;0),"Add file details",IF(AND($T199="Downloaded",LEN($X199)&lt;&gt;64),"Check SHA-256",IF(AND($Q199="",$R199=""),"Add a URL",IF($S199="No","Not official - replace",IF($M199="Not verified","Verify status","OK"))))))))</f>
        <v/>
      </c>
      <c r="AG199" s="21" t="n"/>
      <c r="AH199" s="21" t="n"/>
      <c r="AI199" s="21" t="n"/>
    </row>
    <row r="200" ht="14.25" customHeight="1" s="35">
      <c r="A200" s="21" t="inlineStr">
        <is>
          <t>S-196</t>
        </is>
      </c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19" t="n"/>
      <c r="L200" s="19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19" t="n"/>
      <c r="AD200" s="21" t="n"/>
      <c r="AE200" s="21" t="n"/>
      <c r="AF200" s="21">
        <f>IF($H200="","",IF($T200="To find","Not started",IF(($C200="")+($D200="")+($E200="")+($G200="")+($I200="")+($M200="")+($O200="")+($S200="")&gt;0,"Missing basic details",IF(AND($T200="Downloaded",($R200="")+($U200="")+($V200="")+(($W200="")*(RIGHT(LOWER($U200),4)=".pdf"))&gt;0),"Add file details",IF(AND($T200="Downloaded",LEN($X200)&lt;&gt;64),"Check SHA-256",IF(AND($Q200="",$R200=""),"Add a URL",IF($S200="No","Not official - replace",IF($M200="Not verified","Verify status","OK"))))))))</f>
        <v/>
      </c>
      <c r="AG200" s="21" t="n"/>
      <c r="AH200" s="21" t="n"/>
      <c r="AI200" s="21" t="n"/>
    </row>
    <row r="201" ht="14.25" customHeight="1" s="35">
      <c r="A201" s="21" t="inlineStr">
        <is>
          <t>S-197</t>
        </is>
      </c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19" t="n"/>
      <c r="L201" s="19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19" t="n"/>
      <c r="AD201" s="21" t="n"/>
      <c r="AE201" s="21" t="n"/>
      <c r="AF201" s="21">
        <f>IF($H201="","",IF($T201="To find","Not started",IF(($C201="")+($D201="")+($E201="")+($G201="")+($I201="")+($M201="")+($O201="")+($S201="")&gt;0,"Missing basic details",IF(AND($T201="Downloaded",($R201="")+($U201="")+($V201="")+(($W201="")*(RIGHT(LOWER($U201),4)=".pdf"))&gt;0),"Add file details",IF(AND($T201="Downloaded",LEN($X201)&lt;&gt;64),"Check SHA-256",IF(AND($Q201="",$R201=""),"Add a URL",IF($S201="No","Not official - replace",IF($M201="Not verified","Verify status","OK"))))))))</f>
        <v/>
      </c>
      <c r="AG201" s="21" t="n"/>
      <c r="AH201" s="21" t="n"/>
      <c r="AI201" s="21" t="n"/>
    </row>
    <row r="202" ht="14.25" customHeight="1" s="35">
      <c r="A202" s="21" t="inlineStr">
        <is>
          <t>S-198</t>
        </is>
      </c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19" t="n"/>
      <c r="L202" s="19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19" t="n"/>
      <c r="AD202" s="21" t="n"/>
      <c r="AE202" s="21" t="n"/>
      <c r="AF202" s="21">
        <f>IF($H202="","",IF($T202="To find","Not started",IF(($C202="")+($D202="")+($E202="")+($G202="")+($I202="")+($M202="")+($O202="")+($S202="")&gt;0,"Missing basic details",IF(AND($T202="Downloaded",($R202="")+($U202="")+($V202="")+(($W202="")*(RIGHT(LOWER($U202),4)=".pdf"))&gt;0),"Add file details",IF(AND($T202="Downloaded",LEN($X202)&lt;&gt;64),"Check SHA-256",IF(AND($Q202="",$R202=""),"Add a URL",IF($S202="No","Not official - replace",IF($M202="Not verified","Verify status","OK"))))))))</f>
        <v/>
      </c>
      <c r="AG202" s="21" t="n"/>
      <c r="AH202" s="21" t="n"/>
      <c r="AI202" s="21" t="n"/>
    </row>
    <row r="203" ht="14.25" customHeight="1" s="35">
      <c r="A203" s="21" t="inlineStr">
        <is>
          <t>S-199</t>
        </is>
      </c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19" t="n"/>
      <c r="L203" s="19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19" t="n"/>
      <c r="AD203" s="21" t="n"/>
      <c r="AE203" s="21" t="n"/>
      <c r="AF203" s="21">
        <f>IF($H203="","",IF($T203="To find","Not started",IF(($C203="")+($D203="")+($E203="")+($G203="")+($I203="")+($M203="")+($O203="")+($S203="")&gt;0,"Missing basic details",IF(AND($T203="Downloaded",($R203="")+($U203="")+($V203="")+(($W203="")*(RIGHT(LOWER($U203),4)=".pdf"))&gt;0),"Add file details",IF(AND($T203="Downloaded",LEN($X203)&lt;&gt;64),"Check SHA-256",IF(AND($Q203="",$R203=""),"Add a URL",IF($S203="No","Not official - replace",IF($M203="Not verified","Verify status","OK"))))))))</f>
        <v/>
      </c>
      <c r="AG203" s="21" t="n"/>
      <c r="AH203" s="21" t="n"/>
      <c r="AI203" s="21" t="n"/>
    </row>
    <row r="204" ht="14.25" customHeight="1" s="35">
      <c r="A204" s="21" t="inlineStr">
        <is>
          <t>S-200</t>
        </is>
      </c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19" t="n"/>
      <c r="L204" s="19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19" t="n"/>
      <c r="AD204" s="21" t="n"/>
      <c r="AE204" s="21" t="n"/>
      <c r="AF204" s="21">
        <f>IF($H204="","",IF($T204="To find","Not started",IF(($C204="")+($D204="")+($E204="")+($G204="")+($I204="")+($M204="")+($O204="")+($S204="")&gt;0,"Missing basic details",IF(AND($T204="Downloaded",($R204="")+($U204="")+($V204="")+(($W204="")*(RIGHT(LOWER($U204),4)=".pdf"))&gt;0),"Add file details",IF(AND($T204="Downloaded",LEN($X204)&lt;&gt;64),"Check SHA-256",IF(AND($Q204="",$R204=""),"Add a URL",IF($S204="No","Not official - replace",IF($M204="Not verified","Verify status","OK"))))))))</f>
        <v/>
      </c>
      <c r="AG204" s="21" t="n"/>
      <c r="AH204" s="21" t="n"/>
      <c r="AI204" s="21" t="n"/>
    </row>
    <row r="205" ht="14.25" customHeight="1" s="35">
      <c r="A205" s="21" t="inlineStr">
        <is>
          <t>S-201</t>
        </is>
      </c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19" t="n"/>
      <c r="L205" s="19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19" t="n"/>
      <c r="AD205" s="21" t="n"/>
      <c r="AE205" s="21" t="n"/>
      <c r="AF205" s="21">
        <f>IF($H205="","",IF($T205="To find","Not started",IF(($C205="")+($D205="")+($E205="")+($G205="")+($I205="")+($M205="")+($O205="")+($S205="")&gt;0,"Missing basic details",IF(AND($T205="Downloaded",($R205="")+($U205="")+($V205="")+(($W205="")*(RIGHT(LOWER($U205),4)=".pdf"))&gt;0),"Add file details",IF(AND($T205="Downloaded",LEN($X205)&lt;&gt;64),"Check SHA-256",IF(AND($Q205="",$R205=""),"Add a URL",IF($S205="No","Not official - replace",IF($M205="Not verified","Verify status","OK"))))))))</f>
        <v/>
      </c>
      <c r="AG205" s="21" t="n"/>
      <c r="AH205" s="21" t="n"/>
      <c r="AI205" s="21" t="n"/>
    </row>
    <row r="206" ht="14.25" customHeight="1" s="35">
      <c r="A206" s="21" t="inlineStr">
        <is>
          <t>S-202</t>
        </is>
      </c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19" t="n"/>
      <c r="L206" s="19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19" t="n"/>
      <c r="AD206" s="21" t="n"/>
      <c r="AE206" s="21" t="n"/>
      <c r="AF206" s="21">
        <f>IF($H206="","",IF($T206="To find","Not started",IF(($C206="")+($D206="")+($E206="")+($G206="")+($I206="")+($M206="")+($O206="")+($S206="")&gt;0,"Missing basic details",IF(AND($T206="Downloaded",($R206="")+($U206="")+($V206="")+(($W206="")*(RIGHT(LOWER($U206),4)=".pdf"))&gt;0),"Add file details",IF(AND($T206="Downloaded",LEN($X206)&lt;&gt;64),"Check SHA-256",IF(AND($Q206="",$R206=""),"Add a URL",IF($S206="No","Not official - replace",IF($M206="Not verified","Verify status","OK"))))))))</f>
        <v/>
      </c>
      <c r="AG206" s="21" t="n"/>
      <c r="AH206" s="21" t="n"/>
      <c r="AI206" s="21" t="n"/>
    </row>
    <row r="207" ht="14.25" customHeight="1" s="35">
      <c r="A207" s="21" t="inlineStr">
        <is>
          <t>S-203</t>
        </is>
      </c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19" t="n"/>
      <c r="L207" s="19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19" t="n"/>
      <c r="AD207" s="21" t="n"/>
      <c r="AE207" s="21" t="n"/>
      <c r="AF207" s="21">
        <f>IF($H207="","",IF($T207="To find","Not started",IF(($C207="")+($D207="")+($E207="")+($G207="")+($I207="")+($M207="")+($O207="")+($S207="")&gt;0,"Missing basic details",IF(AND($T207="Downloaded",($R207="")+($U207="")+($V207="")+(($W207="")*(RIGHT(LOWER($U207),4)=".pdf"))&gt;0),"Add file details",IF(AND($T207="Downloaded",LEN($X207)&lt;&gt;64),"Check SHA-256",IF(AND($Q207="",$R207=""),"Add a URL",IF($S207="No","Not official - replace",IF($M207="Not verified","Verify status","OK"))))))))</f>
        <v/>
      </c>
      <c r="AG207" s="21" t="n"/>
      <c r="AH207" s="21" t="n"/>
      <c r="AI207" s="21" t="n"/>
    </row>
    <row r="208" ht="14.25" customHeight="1" s="35">
      <c r="A208" s="21" t="inlineStr">
        <is>
          <t>S-204</t>
        </is>
      </c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19" t="n"/>
      <c r="L208" s="19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19" t="n"/>
      <c r="AD208" s="21" t="n"/>
      <c r="AE208" s="21" t="n"/>
      <c r="AF208" s="21">
        <f>IF($H208="","",IF($T208="To find","Not started",IF(($C208="")+($D208="")+($E208="")+($G208="")+($I208="")+($M208="")+($O208="")+($S208="")&gt;0,"Missing basic details",IF(AND($T208="Downloaded",($R208="")+($U208="")+($V208="")+(($W208="")*(RIGHT(LOWER($U208),4)=".pdf"))&gt;0),"Add file details",IF(AND($T208="Downloaded",LEN($X208)&lt;&gt;64),"Check SHA-256",IF(AND($Q208="",$R208=""),"Add a URL",IF($S208="No","Not official - replace",IF($M208="Not verified","Verify status","OK"))))))))</f>
        <v/>
      </c>
      <c r="AG208" s="21" t="n"/>
      <c r="AH208" s="21" t="n"/>
      <c r="AI208" s="21" t="n"/>
    </row>
    <row r="209" ht="14.25" customHeight="1" s="35">
      <c r="A209" s="21" t="inlineStr">
        <is>
          <t>S-205</t>
        </is>
      </c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19" t="n"/>
      <c r="L209" s="19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19" t="n"/>
      <c r="AD209" s="21" t="n"/>
      <c r="AE209" s="21" t="n"/>
      <c r="AF209" s="21">
        <f>IF($H209="","",IF($T209="To find","Not started",IF(($C209="")+($D209="")+($E209="")+($G209="")+($I209="")+($M209="")+($O209="")+($S209="")&gt;0,"Missing basic details",IF(AND($T209="Downloaded",($R209="")+($U209="")+($V209="")+(($W209="")*(RIGHT(LOWER($U209),4)=".pdf"))&gt;0),"Add file details",IF(AND($T209="Downloaded",LEN($X209)&lt;&gt;64),"Check SHA-256",IF(AND($Q209="",$R209=""),"Add a URL",IF($S209="No","Not official - replace",IF($M209="Not verified","Verify status","OK"))))))))</f>
        <v/>
      </c>
      <c r="AG209" s="21" t="n"/>
      <c r="AH209" s="21" t="n"/>
      <c r="AI209" s="21" t="n"/>
    </row>
    <row r="210" ht="14.25" customHeight="1" s="35">
      <c r="A210" s="21" t="inlineStr">
        <is>
          <t>S-206</t>
        </is>
      </c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19" t="n"/>
      <c r="L210" s="19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19" t="n"/>
      <c r="AD210" s="21" t="n"/>
      <c r="AE210" s="21" t="n"/>
      <c r="AF210" s="21">
        <f>IF($H210="","",IF($T210="To find","Not started",IF(($C210="")+($D210="")+($E210="")+($G210="")+($I210="")+($M210="")+($O210="")+($S210="")&gt;0,"Missing basic details",IF(AND($T210="Downloaded",($R210="")+($U210="")+($V210="")+(($W210="")*(RIGHT(LOWER($U210),4)=".pdf"))&gt;0),"Add file details",IF(AND($T210="Downloaded",LEN($X210)&lt;&gt;64),"Check SHA-256",IF(AND($Q210="",$R210=""),"Add a URL",IF($S210="No","Not official - replace",IF($M210="Not verified","Verify status","OK"))))))))</f>
        <v/>
      </c>
      <c r="AG210" s="21" t="n"/>
      <c r="AH210" s="21" t="n"/>
      <c r="AI210" s="21" t="n"/>
    </row>
    <row r="211" ht="14.25" customHeight="1" s="35">
      <c r="A211" s="21" t="inlineStr">
        <is>
          <t>S-207</t>
        </is>
      </c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19" t="n"/>
      <c r="L211" s="19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19" t="n"/>
      <c r="AD211" s="21" t="n"/>
      <c r="AE211" s="21" t="n"/>
      <c r="AF211" s="21">
        <f>IF($H211="","",IF($T211="To find","Not started",IF(($C211="")+($D211="")+($E211="")+($G211="")+($I211="")+($M211="")+($O211="")+($S211="")&gt;0,"Missing basic details",IF(AND($T211="Downloaded",($R211="")+($U211="")+($V211="")+(($W211="")*(RIGHT(LOWER($U211),4)=".pdf"))&gt;0),"Add file details",IF(AND($T211="Downloaded",LEN($X211)&lt;&gt;64),"Check SHA-256",IF(AND($Q211="",$R211=""),"Add a URL",IF($S211="No","Not official - replace",IF($M211="Not verified","Verify status","OK"))))))))</f>
        <v/>
      </c>
      <c r="AG211" s="21" t="n"/>
      <c r="AH211" s="21" t="n"/>
      <c r="AI211" s="21" t="n"/>
    </row>
    <row r="212" ht="14.25" customHeight="1" s="35">
      <c r="A212" s="21" t="inlineStr">
        <is>
          <t>S-208</t>
        </is>
      </c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19" t="n"/>
      <c r="L212" s="19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19" t="n"/>
      <c r="AD212" s="21" t="n"/>
      <c r="AE212" s="21" t="n"/>
      <c r="AF212" s="21">
        <f>IF($H212="","",IF($T212="To find","Not started",IF(($C212="")+($D212="")+($E212="")+($G212="")+($I212="")+($M212="")+($O212="")+($S212="")&gt;0,"Missing basic details",IF(AND($T212="Downloaded",($R212="")+($U212="")+($V212="")+(($W212="")*(RIGHT(LOWER($U212),4)=".pdf"))&gt;0),"Add file details",IF(AND($T212="Downloaded",LEN($X212)&lt;&gt;64),"Check SHA-256",IF(AND($Q212="",$R212=""),"Add a URL",IF($S212="No","Not official - replace",IF($M212="Not verified","Verify status","OK"))))))))</f>
        <v/>
      </c>
      <c r="AG212" s="21" t="n"/>
      <c r="AH212" s="21" t="n"/>
      <c r="AI212" s="21" t="n"/>
    </row>
    <row r="213" ht="14.25" customHeight="1" s="35">
      <c r="A213" s="21" t="inlineStr">
        <is>
          <t>S-209</t>
        </is>
      </c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19" t="n"/>
      <c r="L213" s="19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19" t="n"/>
      <c r="AD213" s="21" t="n"/>
      <c r="AE213" s="21" t="n"/>
      <c r="AF213" s="21">
        <f>IF($H213="","",IF($T213="To find","Not started",IF(($C213="")+($D213="")+($E213="")+($G213="")+($I213="")+($M213="")+($O213="")+($S213="")&gt;0,"Missing basic details",IF(AND($T213="Downloaded",($R213="")+($U213="")+($V213="")+(($W213="")*(RIGHT(LOWER($U213),4)=".pdf"))&gt;0),"Add file details",IF(AND($T213="Downloaded",LEN($X213)&lt;&gt;64),"Check SHA-256",IF(AND($Q213="",$R213=""),"Add a URL",IF($S213="No","Not official - replace",IF($M213="Not verified","Verify status","OK"))))))))</f>
        <v/>
      </c>
      <c r="AG213" s="21" t="n"/>
      <c r="AH213" s="21" t="n"/>
      <c r="AI213" s="21" t="n"/>
    </row>
    <row r="214" ht="14.25" customHeight="1" s="35">
      <c r="A214" s="21" t="inlineStr">
        <is>
          <t>S-210</t>
        </is>
      </c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19" t="n"/>
      <c r="L214" s="19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19" t="n"/>
      <c r="AD214" s="21" t="n"/>
      <c r="AE214" s="21" t="n"/>
      <c r="AF214" s="21">
        <f>IF($H214="","",IF($T214="To find","Not started",IF(($C214="")+($D214="")+($E214="")+($G214="")+($I214="")+($M214="")+($O214="")+($S214="")&gt;0,"Missing basic details",IF(AND($T214="Downloaded",($R214="")+($U214="")+($V214="")+(($W214="")*(RIGHT(LOWER($U214),4)=".pdf"))&gt;0),"Add file details",IF(AND($T214="Downloaded",LEN($X214)&lt;&gt;64),"Check SHA-256",IF(AND($Q214="",$R214=""),"Add a URL",IF($S214="No","Not official - replace",IF($M214="Not verified","Verify status","OK"))))))))</f>
        <v/>
      </c>
      <c r="AG214" s="21" t="n"/>
      <c r="AH214" s="21" t="n"/>
      <c r="AI214" s="21" t="n"/>
    </row>
    <row r="215" ht="14.25" customHeight="1" s="35">
      <c r="A215" s="21" t="inlineStr">
        <is>
          <t>S-211</t>
        </is>
      </c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19" t="n"/>
      <c r="L215" s="19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19" t="n"/>
      <c r="AD215" s="21" t="n"/>
      <c r="AE215" s="21" t="n"/>
      <c r="AF215" s="21">
        <f>IF($H215="","",IF($T215="To find","Not started",IF(($C215="")+($D215="")+($E215="")+($G215="")+($I215="")+($M215="")+($O215="")+($S215="")&gt;0,"Missing basic details",IF(AND($T215="Downloaded",($R215="")+($U215="")+($V215="")+(($W215="")*(RIGHT(LOWER($U215),4)=".pdf"))&gt;0),"Add file details",IF(AND($T215="Downloaded",LEN($X215)&lt;&gt;64),"Check SHA-256",IF(AND($Q215="",$R215=""),"Add a URL",IF($S215="No","Not official - replace",IF($M215="Not verified","Verify status","OK"))))))))</f>
        <v/>
      </c>
      <c r="AG215" s="21" t="n"/>
      <c r="AH215" s="21" t="n"/>
      <c r="AI215" s="21" t="n"/>
    </row>
    <row r="216" ht="14.25" customHeight="1" s="35">
      <c r="A216" s="21" t="inlineStr">
        <is>
          <t>S-212</t>
        </is>
      </c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19" t="n"/>
      <c r="L216" s="19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19" t="n"/>
      <c r="AD216" s="21" t="n"/>
      <c r="AE216" s="21" t="n"/>
      <c r="AF216" s="21">
        <f>IF($H216="","",IF($T216="To find","Not started",IF(($C216="")+($D216="")+($E216="")+($G216="")+($I216="")+($M216="")+($O216="")+($S216="")&gt;0,"Missing basic details",IF(AND($T216="Downloaded",($R216="")+($U216="")+($V216="")+(($W216="")*(RIGHT(LOWER($U216),4)=".pdf"))&gt;0),"Add file details",IF(AND($T216="Downloaded",LEN($X216)&lt;&gt;64),"Check SHA-256",IF(AND($Q216="",$R216=""),"Add a URL",IF($S216="No","Not official - replace",IF($M216="Not verified","Verify status","OK"))))))))</f>
        <v/>
      </c>
      <c r="AG216" s="21" t="n"/>
      <c r="AH216" s="21" t="n"/>
      <c r="AI216" s="21" t="n"/>
    </row>
    <row r="217" ht="14.25" customHeight="1" s="35">
      <c r="A217" s="21" t="inlineStr">
        <is>
          <t>S-213</t>
        </is>
      </c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19" t="n"/>
      <c r="L217" s="19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19" t="n"/>
      <c r="AD217" s="21" t="n"/>
      <c r="AE217" s="21" t="n"/>
      <c r="AF217" s="21">
        <f>IF($H217="","",IF($T217="To find","Not started",IF(($C217="")+($D217="")+($E217="")+($G217="")+($I217="")+($M217="")+($O217="")+($S217="")&gt;0,"Missing basic details",IF(AND($T217="Downloaded",($R217="")+($U217="")+($V217="")+(($W217="")*(RIGHT(LOWER($U217),4)=".pdf"))&gt;0),"Add file details",IF(AND($T217="Downloaded",LEN($X217)&lt;&gt;64),"Check SHA-256",IF(AND($Q217="",$R217=""),"Add a URL",IF($S217="No","Not official - replace",IF($M217="Not verified","Verify status","OK"))))))))</f>
        <v/>
      </c>
      <c r="AG217" s="21" t="n"/>
      <c r="AH217" s="21" t="n"/>
      <c r="AI217" s="21" t="n"/>
    </row>
    <row r="218" ht="14.25" customHeight="1" s="35">
      <c r="A218" s="21" t="inlineStr">
        <is>
          <t>S-214</t>
        </is>
      </c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19" t="n"/>
      <c r="L218" s="19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19" t="n"/>
      <c r="AD218" s="21" t="n"/>
      <c r="AE218" s="21" t="n"/>
      <c r="AF218" s="21">
        <f>IF($H218="","",IF($T218="To find","Not started",IF(($C218="")+($D218="")+($E218="")+($G218="")+($I218="")+($M218="")+($O218="")+($S218="")&gt;0,"Missing basic details",IF(AND($T218="Downloaded",($R218="")+($U218="")+($V218="")+(($W218="")*(RIGHT(LOWER($U218),4)=".pdf"))&gt;0),"Add file details",IF(AND($T218="Downloaded",LEN($X218)&lt;&gt;64),"Check SHA-256",IF(AND($Q218="",$R218=""),"Add a URL",IF($S218="No","Not official - replace",IF($M218="Not verified","Verify status","OK"))))))))</f>
        <v/>
      </c>
      <c r="AG218" s="21" t="n"/>
      <c r="AH218" s="21" t="n"/>
      <c r="AI218" s="21" t="n"/>
    </row>
    <row r="219" ht="14.25" customHeight="1" s="35">
      <c r="A219" s="21" t="inlineStr">
        <is>
          <t>S-215</t>
        </is>
      </c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19" t="n"/>
      <c r="L219" s="19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19" t="n"/>
      <c r="AD219" s="21" t="n"/>
      <c r="AE219" s="21" t="n"/>
      <c r="AF219" s="21">
        <f>IF($H219="","",IF($T219="To find","Not started",IF(($C219="")+($D219="")+($E219="")+($G219="")+($I219="")+($M219="")+($O219="")+($S219="")&gt;0,"Missing basic details",IF(AND($T219="Downloaded",($R219="")+($U219="")+($V219="")+(($W219="")*(RIGHT(LOWER($U219),4)=".pdf"))&gt;0),"Add file details",IF(AND($T219="Downloaded",LEN($X219)&lt;&gt;64),"Check SHA-256",IF(AND($Q219="",$R219=""),"Add a URL",IF($S219="No","Not official - replace",IF($M219="Not verified","Verify status","OK"))))))))</f>
        <v/>
      </c>
      <c r="AG219" s="21" t="n"/>
      <c r="AH219" s="21" t="n"/>
      <c r="AI219" s="21" t="n"/>
    </row>
    <row r="220" ht="14.25" customHeight="1" s="35">
      <c r="A220" s="21" t="inlineStr">
        <is>
          <t>S-216</t>
        </is>
      </c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19" t="n"/>
      <c r="L220" s="19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19" t="n"/>
      <c r="AD220" s="21" t="n"/>
      <c r="AE220" s="21" t="n"/>
      <c r="AF220" s="21">
        <f>IF($H220="","",IF($T220="To find","Not started",IF(($C220="")+($D220="")+($E220="")+($G220="")+($I220="")+($M220="")+($O220="")+($S220="")&gt;0,"Missing basic details",IF(AND($T220="Downloaded",($R220="")+($U220="")+($V220="")+(($W220="")*(RIGHT(LOWER($U220),4)=".pdf"))&gt;0),"Add file details",IF(AND($T220="Downloaded",LEN($X220)&lt;&gt;64),"Check SHA-256",IF(AND($Q220="",$R220=""),"Add a URL",IF($S220="No","Not official - replace",IF($M220="Not verified","Verify status","OK"))))))))</f>
        <v/>
      </c>
      <c r="AG220" s="21" t="n"/>
      <c r="AH220" s="21" t="n"/>
      <c r="AI220" s="21" t="n"/>
    </row>
    <row r="221" ht="14.25" customHeight="1" s="35">
      <c r="A221" s="21" t="inlineStr">
        <is>
          <t>S-217</t>
        </is>
      </c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19" t="n"/>
      <c r="L221" s="19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19" t="n"/>
      <c r="AD221" s="21" t="n"/>
      <c r="AE221" s="21" t="n"/>
      <c r="AF221" s="21">
        <f>IF($H221="","",IF($T221="To find","Not started",IF(($C221="")+($D221="")+($E221="")+($G221="")+($I221="")+($M221="")+($O221="")+($S221="")&gt;0,"Missing basic details",IF(AND($T221="Downloaded",($R221="")+($U221="")+($V221="")+(($W221="")*(RIGHT(LOWER($U221),4)=".pdf"))&gt;0),"Add file details",IF(AND($T221="Downloaded",LEN($X221)&lt;&gt;64),"Check SHA-256",IF(AND($Q221="",$R221=""),"Add a URL",IF($S221="No","Not official - replace",IF($M221="Not verified","Verify status","OK"))))))))</f>
        <v/>
      </c>
      <c r="AG221" s="21" t="n"/>
      <c r="AH221" s="21" t="n"/>
      <c r="AI221" s="21" t="n"/>
    </row>
    <row r="222" ht="14.25" customHeight="1" s="35">
      <c r="A222" s="21" t="inlineStr">
        <is>
          <t>S-218</t>
        </is>
      </c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19" t="n"/>
      <c r="L222" s="19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19" t="n"/>
      <c r="AD222" s="21" t="n"/>
      <c r="AE222" s="21" t="n"/>
      <c r="AF222" s="21">
        <f>IF($H222="","",IF($T222="To find","Not started",IF(($C222="")+($D222="")+($E222="")+($G222="")+($I222="")+($M222="")+($O222="")+($S222="")&gt;0,"Missing basic details",IF(AND($T222="Downloaded",($R222="")+($U222="")+($V222="")+(($W222="")*(RIGHT(LOWER($U222),4)=".pdf"))&gt;0),"Add file details",IF(AND($T222="Downloaded",LEN($X222)&lt;&gt;64),"Check SHA-256",IF(AND($Q222="",$R222=""),"Add a URL",IF($S222="No","Not official - replace",IF($M222="Not verified","Verify status","OK"))))))))</f>
        <v/>
      </c>
      <c r="AG222" s="21" t="n"/>
      <c r="AH222" s="21" t="n"/>
      <c r="AI222" s="21" t="n"/>
    </row>
    <row r="223" ht="14.25" customHeight="1" s="35">
      <c r="A223" s="21" t="inlineStr">
        <is>
          <t>S-219</t>
        </is>
      </c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19" t="n"/>
      <c r="L223" s="19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19" t="n"/>
      <c r="AD223" s="21" t="n"/>
      <c r="AE223" s="21" t="n"/>
      <c r="AF223" s="21">
        <f>IF($H223="","",IF($T223="To find","Not started",IF(($C223="")+($D223="")+($E223="")+($G223="")+($I223="")+($M223="")+($O223="")+($S223="")&gt;0,"Missing basic details",IF(AND($T223="Downloaded",($R223="")+($U223="")+($V223="")+(($W223="")*(RIGHT(LOWER($U223),4)=".pdf"))&gt;0),"Add file details",IF(AND($T223="Downloaded",LEN($X223)&lt;&gt;64),"Check SHA-256",IF(AND($Q223="",$R223=""),"Add a URL",IF($S223="No","Not official - replace",IF($M223="Not verified","Verify status","OK"))))))))</f>
        <v/>
      </c>
      <c r="AG223" s="21" t="n"/>
      <c r="AH223" s="21" t="n"/>
      <c r="AI223" s="21" t="n"/>
    </row>
    <row r="224" ht="14.25" customHeight="1" s="35">
      <c r="A224" s="21" t="inlineStr">
        <is>
          <t>S-220</t>
        </is>
      </c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19" t="n"/>
      <c r="L224" s="19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19" t="n"/>
      <c r="AD224" s="21" t="n"/>
      <c r="AE224" s="21" t="n"/>
      <c r="AF224" s="21">
        <f>IF($H224="","",IF($T224="To find","Not started",IF(($C224="")+($D224="")+($E224="")+($G224="")+($I224="")+($M224="")+($O224="")+($S224="")&gt;0,"Missing basic details",IF(AND($T224="Downloaded",($R224="")+($U224="")+($V224="")+(($W224="")*(RIGHT(LOWER($U224),4)=".pdf"))&gt;0),"Add file details",IF(AND($T224="Downloaded",LEN($X224)&lt;&gt;64),"Check SHA-256",IF(AND($Q224="",$R224=""),"Add a URL",IF($S224="No","Not official - replace",IF($M224="Not verified","Verify status","OK"))))))))</f>
        <v/>
      </c>
      <c r="AG224" s="21" t="n"/>
      <c r="AH224" s="21" t="n"/>
      <c r="AI224" s="21" t="n"/>
    </row>
    <row r="225" ht="14.25" customHeight="1" s="35">
      <c r="A225" s="21" t="inlineStr">
        <is>
          <t>S-221</t>
        </is>
      </c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19" t="n"/>
      <c r="L225" s="19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19" t="n"/>
      <c r="AD225" s="21" t="n"/>
      <c r="AE225" s="21" t="n"/>
      <c r="AF225" s="21">
        <f>IF($H225="","",IF($T225="To find","Not started",IF(($C225="")+($D225="")+($E225="")+($G225="")+($I225="")+($M225="")+($O225="")+($S225="")&gt;0,"Missing basic details",IF(AND($T225="Downloaded",($R225="")+($U225="")+($V225="")+(($W225="")*(RIGHT(LOWER($U225),4)=".pdf"))&gt;0),"Add file details",IF(AND($T225="Downloaded",LEN($X225)&lt;&gt;64),"Check SHA-256",IF(AND($Q225="",$R225=""),"Add a URL",IF($S225="No","Not official - replace",IF($M225="Not verified","Verify status","OK"))))))))</f>
        <v/>
      </c>
      <c r="AG225" s="21" t="n"/>
      <c r="AH225" s="21" t="n"/>
      <c r="AI225" s="21" t="n"/>
    </row>
    <row r="226" ht="14.25" customHeight="1" s="35">
      <c r="A226" s="21" t="inlineStr">
        <is>
          <t>S-222</t>
        </is>
      </c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19" t="n"/>
      <c r="L226" s="19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19" t="n"/>
      <c r="AD226" s="21" t="n"/>
      <c r="AE226" s="21" t="n"/>
      <c r="AF226" s="21">
        <f>IF($H226="","",IF($T226="To find","Not started",IF(($C226="")+($D226="")+($E226="")+($G226="")+($I226="")+($M226="")+($O226="")+($S226="")&gt;0,"Missing basic details",IF(AND($T226="Downloaded",($R226="")+($U226="")+($V226="")+(($W226="")*(RIGHT(LOWER($U226),4)=".pdf"))&gt;0),"Add file details",IF(AND($T226="Downloaded",LEN($X226)&lt;&gt;64),"Check SHA-256",IF(AND($Q226="",$R226=""),"Add a URL",IF($S226="No","Not official - replace",IF($M226="Not verified","Verify status","OK"))))))))</f>
        <v/>
      </c>
      <c r="AG226" s="21" t="n"/>
      <c r="AH226" s="21" t="n"/>
      <c r="AI226" s="21" t="n"/>
    </row>
    <row r="227" ht="14.25" customHeight="1" s="35">
      <c r="A227" s="21" t="inlineStr">
        <is>
          <t>S-223</t>
        </is>
      </c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19" t="n"/>
      <c r="L227" s="19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19" t="n"/>
      <c r="AD227" s="21" t="n"/>
      <c r="AE227" s="21" t="n"/>
      <c r="AF227" s="21">
        <f>IF($H227="","",IF($T227="To find","Not started",IF(($C227="")+($D227="")+($E227="")+($G227="")+($I227="")+($M227="")+($O227="")+($S227="")&gt;0,"Missing basic details",IF(AND($T227="Downloaded",($R227="")+($U227="")+($V227="")+(($W227="")*(RIGHT(LOWER($U227),4)=".pdf"))&gt;0),"Add file details",IF(AND($T227="Downloaded",LEN($X227)&lt;&gt;64),"Check SHA-256",IF(AND($Q227="",$R227=""),"Add a URL",IF($S227="No","Not official - replace",IF($M227="Not verified","Verify status","OK"))))))))</f>
        <v/>
      </c>
      <c r="AG227" s="21" t="n"/>
      <c r="AH227" s="21" t="n"/>
      <c r="AI227" s="21" t="n"/>
    </row>
    <row r="228" ht="14.25" customHeight="1" s="35">
      <c r="A228" s="21" t="inlineStr">
        <is>
          <t>S-224</t>
        </is>
      </c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19" t="n"/>
      <c r="L228" s="19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19" t="n"/>
      <c r="AD228" s="21" t="n"/>
      <c r="AE228" s="21" t="n"/>
      <c r="AF228" s="21">
        <f>IF($H228="","",IF($T228="To find","Not started",IF(($C228="")+($D228="")+($E228="")+($G228="")+($I228="")+($M228="")+($O228="")+($S228="")&gt;0,"Missing basic details",IF(AND($T228="Downloaded",($R228="")+($U228="")+($V228="")+(($W228="")*(RIGHT(LOWER($U228),4)=".pdf"))&gt;0),"Add file details",IF(AND($T228="Downloaded",LEN($X228)&lt;&gt;64),"Check SHA-256",IF(AND($Q228="",$R228=""),"Add a URL",IF($S228="No","Not official - replace",IF($M228="Not verified","Verify status","OK"))))))))</f>
        <v/>
      </c>
      <c r="AG228" s="21" t="n"/>
      <c r="AH228" s="21" t="n"/>
      <c r="AI228" s="21" t="n"/>
    </row>
    <row r="229" ht="14.25" customHeight="1" s="35">
      <c r="A229" s="21" t="inlineStr">
        <is>
          <t>S-225</t>
        </is>
      </c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19" t="n"/>
      <c r="L229" s="19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19" t="n"/>
      <c r="AD229" s="21" t="n"/>
      <c r="AE229" s="21" t="n"/>
      <c r="AF229" s="21">
        <f>IF($H229="","",IF($T229="To find","Not started",IF(($C229="")+($D229="")+($E229="")+($G229="")+($I229="")+($M229="")+($O229="")+($S229="")&gt;0,"Missing basic details",IF(AND($T229="Downloaded",($R229="")+($U229="")+($V229="")+(($W229="")*(RIGHT(LOWER($U229),4)=".pdf"))&gt;0),"Add file details",IF(AND($T229="Downloaded",LEN($X229)&lt;&gt;64),"Check SHA-256",IF(AND($Q229="",$R229=""),"Add a URL",IF($S229="No","Not official - replace",IF($M229="Not verified","Verify status","OK"))))))))</f>
        <v/>
      </c>
      <c r="AG229" s="21" t="n"/>
      <c r="AH229" s="21" t="n"/>
      <c r="AI229" s="21" t="n"/>
    </row>
    <row r="230" ht="14.25" customHeight="1" s="35">
      <c r="A230" s="21" t="inlineStr">
        <is>
          <t>S-226</t>
        </is>
      </c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19" t="n"/>
      <c r="L230" s="19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19" t="n"/>
      <c r="AD230" s="21" t="n"/>
      <c r="AE230" s="21" t="n"/>
      <c r="AF230" s="21">
        <f>IF($H230="","",IF($T230="To find","Not started",IF(($C230="")+($D230="")+($E230="")+($G230="")+($I230="")+($M230="")+($O230="")+($S230="")&gt;0,"Missing basic details",IF(AND($T230="Downloaded",($R230="")+($U230="")+($V230="")+(($W230="")*(RIGHT(LOWER($U230),4)=".pdf"))&gt;0),"Add file details",IF(AND($T230="Downloaded",LEN($X230)&lt;&gt;64),"Check SHA-256",IF(AND($Q230="",$R230=""),"Add a URL",IF($S230="No","Not official - replace",IF($M230="Not verified","Verify status","OK"))))))))</f>
        <v/>
      </c>
      <c r="AG230" s="21" t="n"/>
      <c r="AH230" s="21" t="n"/>
      <c r="AI230" s="21" t="n"/>
    </row>
    <row r="231" ht="14.25" customHeight="1" s="35">
      <c r="A231" s="21" t="inlineStr">
        <is>
          <t>S-227</t>
        </is>
      </c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19" t="n"/>
      <c r="L231" s="19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19" t="n"/>
      <c r="AD231" s="21" t="n"/>
      <c r="AE231" s="21" t="n"/>
      <c r="AF231" s="21">
        <f>IF($H231="","",IF($T231="To find","Not started",IF(($C231="")+($D231="")+($E231="")+($G231="")+($I231="")+($M231="")+($O231="")+($S231="")&gt;0,"Missing basic details",IF(AND($T231="Downloaded",($R231="")+($U231="")+($V231="")+(($W231="")*(RIGHT(LOWER($U231),4)=".pdf"))&gt;0),"Add file details",IF(AND($T231="Downloaded",LEN($X231)&lt;&gt;64),"Check SHA-256",IF(AND($Q231="",$R231=""),"Add a URL",IF($S231="No","Not official - replace",IF($M231="Not verified","Verify status","OK"))))))))</f>
        <v/>
      </c>
      <c r="AG231" s="21" t="n"/>
      <c r="AH231" s="21" t="n"/>
      <c r="AI231" s="21" t="n"/>
    </row>
    <row r="232" ht="14.25" customHeight="1" s="35">
      <c r="A232" s="21" t="inlineStr">
        <is>
          <t>S-228</t>
        </is>
      </c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19" t="n"/>
      <c r="L232" s="19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19" t="n"/>
      <c r="AD232" s="21" t="n"/>
      <c r="AE232" s="21" t="n"/>
      <c r="AF232" s="21">
        <f>IF($H232="","",IF($T232="To find","Not started",IF(($C232="")+($D232="")+($E232="")+($G232="")+($I232="")+($M232="")+($O232="")+($S232="")&gt;0,"Missing basic details",IF(AND($T232="Downloaded",($R232="")+($U232="")+($V232="")+(($W232="")*(RIGHT(LOWER($U232),4)=".pdf"))&gt;0),"Add file details",IF(AND($T232="Downloaded",LEN($X232)&lt;&gt;64),"Check SHA-256",IF(AND($Q232="",$R232=""),"Add a URL",IF($S232="No","Not official - replace",IF($M232="Not verified","Verify status","OK"))))))))</f>
        <v/>
      </c>
      <c r="AG232" s="21" t="n"/>
      <c r="AH232" s="21" t="n"/>
      <c r="AI232" s="21" t="n"/>
    </row>
    <row r="233" ht="14.25" customHeight="1" s="35">
      <c r="A233" s="21" t="inlineStr">
        <is>
          <t>S-229</t>
        </is>
      </c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19" t="n"/>
      <c r="L233" s="19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19" t="n"/>
      <c r="AD233" s="21" t="n"/>
      <c r="AE233" s="21" t="n"/>
      <c r="AF233" s="21">
        <f>IF($H233="","",IF($T233="To find","Not started",IF(($C233="")+($D233="")+($E233="")+($G233="")+($I233="")+($M233="")+($O233="")+($S233="")&gt;0,"Missing basic details",IF(AND($T233="Downloaded",($R233="")+($U233="")+($V233="")+(($W233="")*(RIGHT(LOWER($U233),4)=".pdf"))&gt;0),"Add file details",IF(AND($T233="Downloaded",LEN($X233)&lt;&gt;64),"Check SHA-256",IF(AND($Q233="",$R233=""),"Add a URL",IF($S233="No","Not official - replace",IF($M233="Not verified","Verify status","OK"))))))))</f>
        <v/>
      </c>
      <c r="AG233" s="21" t="n"/>
      <c r="AH233" s="21" t="n"/>
      <c r="AI233" s="21" t="n"/>
    </row>
    <row r="234" ht="14.25" customHeight="1" s="35">
      <c r="A234" s="21" t="inlineStr">
        <is>
          <t>S-230</t>
        </is>
      </c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19" t="n"/>
      <c r="L234" s="19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19" t="n"/>
      <c r="AD234" s="21" t="n"/>
      <c r="AE234" s="21" t="n"/>
      <c r="AF234" s="21">
        <f>IF($H234="","",IF($T234="To find","Not started",IF(($C234="")+($D234="")+($E234="")+($G234="")+($I234="")+($M234="")+($O234="")+($S234="")&gt;0,"Missing basic details",IF(AND($T234="Downloaded",($R234="")+($U234="")+($V234="")+(($W234="")*(RIGHT(LOWER($U234),4)=".pdf"))&gt;0),"Add file details",IF(AND($T234="Downloaded",LEN($X234)&lt;&gt;64),"Check SHA-256",IF(AND($Q234="",$R234=""),"Add a URL",IF($S234="No","Not official - replace",IF($M234="Not verified","Verify status","OK"))))))))</f>
        <v/>
      </c>
      <c r="AG234" s="21" t="n"/>
      <c r="AH234" s="21" t="n"/>
      <c r="AI234" s="21" t="n"/>
    </row>
    <row r="235" ht="14.25" customHeight="1" s="35">
      <c r="A235" s="21" t="inlineStr">
        <is>
          <t>S-231</t>
        </is>
      </c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19" t="n"/>
      <c r="L235" s="19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19" t="n"/>
      <c r="AD235" s="21" t="n"/>
      <c r="AE235" s="21" t="n"/>
      <c r="AF235" s="21">
        <f>IF($H235="","",IF($T235="To find","Not started",IF(($C235="")+($D235="")+($E235="")+($G235="")+($I235="")+($M235="")+($O235="")+($S235="")&gt;0,"Missing basic details",IF(AND($T235="Downloaded",($R235="")+($U235="")+($V235="")+(($W235="")*(RIGHT(LOWER($U235),4)=".pdf"))&gt;0),"Add file details",IF(AND($T235="Downloaded",LEN($X235)&lt;&gt;64),"Check SHA-256",IF(AND($Q235="",$R235=""),"Add a URL",IF($S235="No","Not official - replace",IF($M235="Not verified","Verify status","OK"))))))))</f>
        <v/>
      </c>
      <c r="AG235" s="21" t="n"/>
      <c r="AH235" s="21" t="n"/>
      <c r="AI235" s="21" t="n"/>
    </row>
    <row r="236" ht="14.25" customHeight="1" s="35">
      <c r="A236" s="21" t="inlineStr">
        <is>
          <t>S-232</t>
        </is>
      </c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19" t="n"/>
      <c r="L236" s="19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19" t="n"/>
      <c r="AD236" s="21" t="n"/>
      <c r="AE236" s="21" t="n"/>
      <c r="AF236" s="21">
        <f>IF($H236="","",IF($T236="To find","Not started",IF(($C236="")+($D236="")+($E236="")+($G236="")+($I236="")+($M236="")+($O236="")+($S236="")&gt;0,"Missing basic details",IF(AND($T236="Downloaded",($R236="")+($U236="")+($V236="")+(($W236="")*(RIGHT(LOWER($U236),4)=".pdf"))&gt;0),"Add file details",IF(AND($T236="Downloaded",LEN($X236)&lt;&gt;64),"Check SHA-256",IF(AND($Q236="",$R236=""),"Add a URL",IF($S236="No","Not official - replace",IF($M236="Not verified","Verify status","OK"))))))))</f>
        <v/>
      </c>
      <c r="AG236" s="21" t="n"/>
      <c r="AH236" s="21" t="n"/>
      <c r="AI236" s="21" t="n"/>
    </row>
    <row r="237" ht="14.25" customHeight="1" s="35">
      <c r="A237" s="21" t="inlineStr">
        <is>
          <t>S-233</t>
        </is>
      </c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19" t="n"/>
      <c r="L237" s="19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19" t="n"/>
      <c r="AD237" s="21" t="n"/>
      <c r="AE237" s="21" t="n"/>
      <c r="AF237" s="21">
        <f>IF($H237="","",IF($T237="To find","Not started",IF(($C237="")+($D237="")+($E237="")+($G237="")+($I237="")+($M237="")+($O237="")+($S237="")&gt;0,"Missing basic details",IF(AND($T237="Downloaded",($R237="")+($U237="")+($V237="")+(($W237="")*(RIGHT(LOWER($U237),4)=".pdf"))&gt;0),"Add file details",IF(AND($T237="Downloaded",LEN($X237)&lt;&gt;64),"Check SHA-256",IF(AND($Q237="",$R237=""),"Add a URL",IF($S237="No","Not official - replace",IF($M237="Not verified","Verify status","OK"))))))))</f>
        <v/>
      </c>
      <c r="AG237" s="21" t="n"/>
      <c r="AH237" s="21" t="n"/>
      <c r="AI237" s="21" t="n"/>
    </row>
    <row r="238" ht="14.25" customHeight="1" s="35">
      <c r="A238" s="21" t="inlineStr">
        <is>
          <t>S-234</t>
        </is>
      </c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19" t="n"/>
      <c r="L238" s="19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19" t="n"/>
      <c r="AD238" s="21" t="n"/>
      <c r="AE238" s="21" t="n"/>
      <c r="AF238" s="21">
        <f>IF($H238="","",IF($T238="To find","Not started",IF(($C238="")+($D238="")+($E238="")+($G238="")+($I238="")+($M238="")+($O238="")+($S238="")&gt;0,"Missing basic details",IF(AND($T238="Downloaded",($R238="")+($U238="")+($V238="")+(($W238="")*(RIGHT(LOWER($U238),4)=".pdf"))&gt;0),"Add file details",IF(AND($T238="Downloaded",LEN($X238)&lt;&gt;64),"Check SHA-256",IF(AND($Q238="",$R238=""),"Add a URL",IF($S238="No","Not official - replace",IF($M238="Not verified","Verify status","OK"))))))))</f>
        <v/>
      </c>
      <c r="AG238" s="21" t="n"/>
      <c r="AH238" s="21" t="n"/>
      <c r="AI238" s="21" t="n"/>
    </row>
    <row r="239" ht="14.25" customHeight="1" s="35">
      <c r="A239" s="21" t="inlineStr">
        <is>
          <t>S-235</t>
        </is>
      </c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19" t="n"/>
      <c r="L239" s="19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19" t="n"/>
      <c r="AD239" s="21" t="n"/>
      <c r="AE239" s="21" t="n"/>
      <c r="AF239" s="21">
        <f>IF($H239="","",IF($T239="To find","Not started",IF(($C239="")+($D239="")+($E239="")+($G239="")+($I239="")+($M239="")+($O239="")+($S239="")&gt;0,"Missing basic details",IF(AND($T239="Downloaded",($R239="")+($U239="")+($V239="")+(($W239="")*(RIGHT(LOWER($U239),4)=".pdf"))&gt;0),"Add file details",IF(AND($T239="Downloaded",LEN($X239)&lt;&gt;64),"Check SHA-256",IF(AND($Q239="",$R239=""),"Add a URL",IF($S239="No","Not official - replace",IF($M239="Not verified","Verify status","OK"))))))))</f>
        <v/>
      </c>
      <c r="AG239" s="21" t="n"/>
      <c r="AH239" s="21" t="n"/>
      <c r="AI239" s="21" t="n"/>
    </row>
    <row r="240" ht="14.25" customHeight="1" s="35">
      <c r="A240" s="21" t="inlineStr">
        <is>
          <t>S-236</t>
        </is>
      </c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19" t="n"/>
      <c r="L240" s="19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19" t="n"/>
      <c r="AD240" s="21" t="n"/>
      <c r="AE240" s="21" t="n"/>
      <c r="AF240" s="21">
        <f>IF($H240="","",IF($T240="To find","Not started",IF(($C240="")+($D240="")+($E240="")+($G240="")+($I240="")+($M240="")+($O240="")+($S240="")&gt;0,"Missing basic details",IF(AND($T240="Downloaded",($R240="")+($U240="")+($V240="")+(($W240="")*(RIGHT(LOWER($U240),4)=".pdf"))&gt;0),"Add file details",IF(AND($T240="Downloaded",LEN($X240)&lt;&gt;64),"Check SHA-256",IF(AND($Q240="",$R240=""),"Add a URL",IF($S240="No","Not official - replace",IF($M240="Not verified","Verify status","OK"))))))))</f>
        <v/>
      </c>
      <c r="AG240" s="21" t="n"/>
      <c r="AH240" s="21" t="n"/>
      <c r="AI240" s="21" t="n"/>
    </row>
    <row r="241" ht="14.25" customHeight="1" s="35">
      <c r="A241" s="21" t="inlineStr">
        <is>
          <t>S-237</t>
        </is>
      </c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19" t="n"/>
      <c r="L241" s="19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19" t="n"/>
      <c r="AD241" s="21" t="n"/>
      <c r="AE241" s="21" t="n"/>
      <c r="AF241" s="21">
        <f>IF($H241="","",IF($T241="To find","Not started",IF(($C241="")+($D241="")+($E241="")+($G241="")+($I241="")+($M241="")+($O241="")+($S241="")&gt;0,"Missing basic details",IF(AND($T241="Downloaded",($R241="")+($U241="")+($V241="")+(($W241="")*(RIGHT(LOWER($U241),4)=".pdf"))&gt;0),"Add file details",IF(AND($T241="Downloaded",LEN($X241)&lt;&gt;64),"Check SHA-256",IF(AND($Q241="",$R241=""),"Add a URL",IF($S241="No","Not official - replace",IF($M241="Not verified","Verify status","OK"))))))))</f>
        <v/>
      </c>
      <c r="AG241" s="21" t="n"/>
      <c r="AH241" s="21" t="n"/>
      <c r="AI241" s="21" t="n"/>
    </row>
    <row r="242" ht="14.25" customHeight="1" s="35">
      <c r="A242" s="21" t="inlineStr">
        <is>
          <t>S-238</t>
        </is>
      </c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19" t="n"/>
      <c r="L242" s="19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19" t="n"/>
      <c r="AD242" s="21" t="n"/>
      <c r="AE242" s="21" t="n"/>
      <c r="AF242" s="21">
        <f>IF($H242="","",IF($T242="To find","Not started",IF(($C242="")+($D242="")+($E242="")+($G242="")+($I242="")+($M242="")+($O242="")+($S242="")&gt;0,"Missing basic details",IF(AND($T242="Downloaded",($R242="")+($U242="")+($V242="")+(($W242="")*(RIGHT(LOWER($U242),4)=".pdf"))&gt;0),"Add file details",IF(AND($T242="Downloaded",LEN($X242)&lt;&gt;64),"Check SHA-256",IF(AND($Q242="",$R242=""),"Add a URL",IF($S242="No","Not official - replace",IF($M242="Not verified","Verify status","OK"))))))))</f>
        <v/>
      </c>
      <c r="AG242" s="21" t="n"/>
      <c r="AH242" s="21" t="n"/>
      <c r="AI242" s="21" t="n"/>
    </row>
    <row r="243" ht="14.25" customHeight="1" s="35">
      <c r="A243" s="21" t="inlineStr">
        <is>
          <t>S-239</t>
        </is>
      </c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19" t="n"/>
      <c r="L243" s="19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19" t="n"/>
      <c r="AD243" s="21" t="n"/>
      <c r="AE243" s="21" t="n"/>
      <c r="AF243" s="21">
        <f>IF($H243="","",IF($T243="To find","Not started",IF(($C243="")+($D243="")+($E243="")+($G243="")+($I243="")+($M243="")+($O243="")+($S243="")&gt;0,"Missing basic details",IF(AND($T243="Downloaded",($R243="")+($U243="")+($V243="")+(($W243="")*(RIGHT(LOWER($U243),4)=".pdf"))&gt;0),"Add file details",IF(AND($T243="Downloaded",LEN($X243)&lt;&gt;64),"Check SHA-256",IF(AND($Q243="",$R243=""),"Add a URL",IF($S243="No","Not official - replace",IF($M243="Not verified","Verify status","OK"))))))))</f>
        <v/>
      </c>
      <c r="AG243" s="21" t="n"/>
      <c r="AH243" s="21" t="n"/>
      <c r="AI243" s="21" t="n"/>
    </row>
    <row r="244" ht="14.25" customHeight="1" s="35">
      <c r="A244" s="21" t="inlineStr">
        <is>
          <t>S-240</t>
        </is>
      </c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19" t="n"/>
      <c r="L244" s="19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19" t="n"/>
      <c r="AD244" s="21" t="n"/>
      <c r="AE244" s="21" t="n"/>
      <c r="AF244" s="21">
        <f>IF($H244="","",IF($T244="To find","Not started",IF(($C244="")+($D244="")+($E244="")+($G244="")+($I244="")+($M244="")+($O244="")+($S244="")&gt;0,"Missing basic details",IF(AND($T244="Downloaded",($R244="")+($U244="")+($V244="")+(($W244="")*(RIGHT(LOWER($U244),4)=".pdf"))&gt;0),"Add file details",IF(AND($T244="Downloaded",LEN($X244)&lt;&gt;64),"Check SHA-256",IF(AND($Q244="",$R244=""),"Add a URL",IF($S244="No","Not official - replace",IF($M244="Not verified","Verify status","OK"))))))))</f>
        <v/>
      </c>
      <c r="AG244" s="21" t="n"/>
      <c r="AH244" s="21" t="n"/>
      <c r="AI244" s="21" t="n"/>
    </row>
    <row r="245" ht="14.25" customHeight="1" s="35">
      <c r="A245" s="21" t="inlineStr">
        <is>
          <t>S-241</t>
        </is>
      </c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19" t="n"/>
      <c r="L245" s="19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19" t="n"/>
      <c r="AD245" s="21" t="n"/>
      <c r="AE245" s="21" t="n"/>
      <c r="AF245" s="21">
        <f>IF($H245="","",IF($T245="To find","Not started",IF(($C245="")+($D245="")+($E245="")+($G245="")+($I245="")+($M245="")+($O245="")+($S245="")&gt;0,"Missing basic details",IF(AND($T245="Downloaded",($R245="")+($U245="")+($V245="")+(($W245="")*(RIGHT(LOWER($U245),4)=".pdf"))&gt;0),"Add file details",IF(AND($T245="Downloaded",LEN($X245)&lt;&gt;64),"Check SHA-256",IF(AND($Q245="",$R245=""),"Add a URL",IF($S245="No","Not official - replace",IF($M245="Not verified","Verify status","OK"))))))))</f>
        <v/>
      </c>
      <c r="AG245" s="21" t="n"/>
      <c r="AH245" s="21" t="n"/>
      <c r="AI245" s="21" t="n"/>
    </row>
    <row r="246" ht="14.25" customHeight="1" s="35">
      <c r="A246" s="21" t="inlineStr">
        <is>
          <t>S-242</t>
        </is>
      </c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19" t="n"/>
      <c r="L246" s="19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19" t="n"/>
      <c r="AD246" s="21" t="n"/>
      <c r="AE246" s="21" t="n"/>
      <c r="AF246" s="21">
        <f>IF($H246="","",IF($T246="To find","Not started",IF(($C246="")+($D246="")+($E246="")+($G246="")+($I246="")+($M246="")+($O246="")+($S246="")&gt;0,"Missing basic details",IF(AND($T246="Downloaded",($R246="")+($U246="")+($V246="")+(($W246="")*(RIGHT(LOWER($U246),4)=".pdf"))&gt;0),"Add file details",IF(AND($T246="Downloaded",LEN($X246)&lt;&gt;64),"Check SHA-256",IF(AND($Q246="",$R246=""),"Add a URL",IF($S246="No","Not official - replace",IF($M246="Not verified","Verify status","OK"))))))))</f>
        <v/>
      </c>
      <c r="AG246" s="21" t="n"/>
      <c r="AH246" s="21" t="n"/>
      <c r="AI246" s="21" t="n"/>
    </row>
    <row r="247" ht="14.25" customHeight="1" s="35">
      <c r="A247" s="21" t="inlineStr">
        <is>
          <t>S-243</t>
        </is>
      </c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19" t="n"/>
      <c r="L247" s="19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19" t="n"/>
      <c r="AD247" s="21" t="n"/>
      <c r="AE247" s="21" t="n"/>
      <c r="AF247" s="21">
        <f>IF($H247="","",IF($T247="To find","Not started",IF(($C247="")+($D247="")+($E247="")+($G247="")+($I247="")+($M247="")+($O247="")+($S247="")&gt;0,"Missing basic details",IF(AND($T247="Downloaded",($R247="")+($U247="")+($V247="")+(($W247="")*(RIGHT(LOWER($U247),4)=".pdf"))&gt;0),"Add file details",IF(AND($T247="Downloaded",LEN($X247)&lt;&gt;64),"Check SHA-256",IF(AND($Q247="",$R247=""),"Add a URL",IF($S247="No","Not official - replace",IF($M247="Not verified","Verify status","OK"))))))))</f>
        <v/>
      </c>
      <c r="AG247" s="21" t="n"/>
      <c r="AH247" s="21" t="n"/>
      <c r="AI247" s="21" t="n"/>
    </row>
    <row r="248" ht="14.25" customHeight="1" s="35">
      <c r="A248" s="21" t="inlineStr">
        <is>
          <t>S-244</t>
        </is>
      </c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19" t="n"/>
      <c r="L248" s="19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19" t="n"/>
      <c r="AD248" s="21" t="n"/>
      <c r="AE248" s="21" t="n"/>
      <c r="AF248" s="21">
        <f>IF($H248="","",IF($T248="To find","Not started",IF(($C248="")+($D248="")+($E248="")+($G248="")+($I248="")+($M248="")+($O248="")+($S248="")&gt;0,"Missing basic details",IF(AND($T248="Downloaded",($R248="")+($U248="")+($V248="")+(($W248="")*(RIGHT(LOWER($U248),4)=".pdf"))&gt;0),"Add file details",IF(AND($T248="Downloaded",LEN($X248)&lt;&gt;64),"Check SHA-256",IF(AND($Q248="",$R248=""),"Add a URL",IF($S248="No","Not official - replace",IF($M248="Not verified","Verify status","OK"))))))))</f>
        <v/>
      </c>
      <c r="AG248" s="21" t="n"/>
      <c r="AH248" s="21" t="n"/>
      <c r="AI248" s="21" t="n"/>
    </row>
    <row r="249" ht="14.25" customHeight="1" s="35">
      <c r="A249" s="21" t="inlineStr">
        <is>
          <t>S-245</t>
        </is>
      </c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19" t="n"/>
      <c r="L249" s="19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19" t="n"/>
      <c r="AD249" s="21" t="n"/>
      <c r="AE249" s="21" t="n"/>
      <c r="AF249" s="21">
        <f>IF($H249="","",IF($T249="To find","Not started",IF(($C249="")+($D249="")+($E249="")+($G249="")+($I249="")+($M249="")+($O249="")+($S249="")&gt;0,"Missing basic details",IF(AND($T249="Downloaded",($R249="")+($U249="")+($V249="")+(($W249="")*(RIGHT(LOWER($U249),4)=".pdf"))&gt;0),"Add file details",IF(AND($T249="Downloaded",LEN($X249)&lt;&gt;64),"Check SHA-256",IF(AND($Q249="",$R249=""),"Add a URL",IF($S249="No","Not official - replace",IF($M249="Not verified","Verify status","OK"))))))))</f>
        <v/>
      </c>
      <c r="AG249" s="21" t="n"/>
      <c r="AH249" s="21" t="n"/>
      <c r="AI249" s="21" t="n"/>
    </row>
    <row r="250" ht="14.25" customHeight="1" s="35">
      <c r="A250" s="21" t="inlineStr">
        <is>
          <t>S-246</t>
        </is>
      </c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19" t="n"/>
      <c r="L250" s="19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19" t="n"/>
      <c r="AD250" s="21" t="n"/>
      <c r="AE250" s="21" t="n"/>
      <c r="AF250" s="21">
        <f>IF($H250="","",IF($T250="To find","Not started",IF(($C250="")+($D250="")+($E250="")+($G250="")+($I250="")+($M250="")+($O250="")+($S250="")&gt;0,"Missing basic details",IF(AND($T250="Downloaded",($R250="")+($U250="")+($V250="")+(($W250="")*(RIGHT(LOWER($U250),4)=".pdf"))&gt;0),"Add file details",IF(AND($T250="Downloaded",LEN($X250)&lt;&gt;64),"Check SHA-256",IF(AND($Q250="",$R250=""),"Add a URL",IF($S250="No","Not official - replace",IF($M250="Not verified","Verify status","OK"))))))))</f>
        <v/>
      </c>
      <c r="AG250" s="21" t="n"/>
      <c r="AH250" s="21" t="n"/>
      <c r="AI250" s="21" t="n"/>
    </row>
    <row r="251" ht="14.25" customHeight="1" s="35">
      <c r="A251" s="21" t="inlineStr">
        <is>
          <t>S-247</t>
        </is>
      </c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19" t="n"/>
      <c r="L251" s="19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19" t="n"/>
      <c r="AD251" s="21" t="n"/>
      <c r="AE251" s="21" t="n"/>
      <c r="AF251" s="21">
        <f>IF($H251="","",IF($T251="To find","Not started",IF(($C251="")+($D251="")+($E251="")+($G251="")+($I251="")+($M251="")+($O251="")+($S251="")&gt;0,"Missing basic details",IF(AND($T251="Downloaded",($R251="")+($U251="")+($V251="")+(($W251="")*(RIGHT(LOWER($U251),4)=".pdf"))&gt;0),"Add file details",IF(AND($T251="Downloaded",LEN($X251)&lt;&gt;64),"Check SHA-256",IF(AND($Q251="",$R251=""),"Add a URL",IF($S251="No","Not official - replace",IF($M251="Not verified","Verify status","OK"))))))))</f>
        <v/>
      </c>
      <c r="AG251" s="21" t="n"/>
      <c r="AH251" s="21" t="n"/>
      <c r="AI251" s="21" t="n"/>
    </row>
    <row r="252" ht="14.25" customHeight="1" s="35">
      <c r="A252" s="21" t="inlineStr">
        <is>
          <t>S-248</t>
        </is>
      </c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19" t="n"/>
      <c r="L252" s="19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19" t="n"/>
      <c r="AD252" s="21" t="n"/>
      <c r="AE252" s="21" t="n"/>
      <c r="AF252" s="21">
        <f>IF($H252="","",IF($T252="To find","Not started",IF(($C252="")+($D252="")+($E252="")+($G252="")+($I252="")+($M252="")+($O252="")+($S252="")&gt;0,"Missing basic details",IF(AND($T252="Downloaded",($R252="")+($U252="")+($V252="")+(($W252="")*(RIGHT(LOWER($U252),4)=".pdf"))&gt;0),"Add file details",IF(AND($T252="Downloaded",LEN($X252)&lt;&gt;64),"Check SHA-256",IF(AND($Q252="",$R252=""),"Add a URL",IF($S252="No","Not official - replace",IF($M252="Not verified","Verify status","OK"))))))))</f>
        <v/>
      </c>
      <c r="AG252" s="21" t="n"/>
      <c r="AH252" s="21" t="n"/>
      <c r="AI252" s="21" t="n"/>
    </row>
    <row r="253" ht="14.25" customHeight="1" s="35">
      <c r="A253" s="21" t="inlineStr">
        <is>
          <t>S-249</t>
        </is>
      </c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19" t="n"/>
      <c r="L253" s="19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19" t="n"/>
      <c r="AD253" s="21" t="n"/>
      <c r="AE253" s="21" t="n"/>
      <c r="AF253" s="21">
        <f>IF($H253="","",IF($T253="To find","Not started",IF(($C253="")+($D253="")+($E253="")+($G253="")+($I253="")+($M253="")+($O253="")+($S253="")&gt;0,"Missing basic details",IF(AND($T253="Downloaded",($R253="")+($U253="")+($V253="")+(($W253="")*(RIGHT(LOWER($U253),4)=".pdf"))&gt;0),"Add file details",IF(AND($T253="Downloaded",LEN($X253)&lt;&gt;64),"Check SHA-256",IF(AND($Q253="",$R253=""),"Add a URL",IF($S253="No","Not official - replace",IF($M253="Not verified","Verify status","OK"))))))))</f>
        <v/>
      </c>
      <c r="AG253" s="21" t="n"/>
      <c r="AH253" s="21" t="n"/>
      <c r="AI253" s="21" t="n"/>
    </row>
    <row r="254" ht="14.25" customHeight="1" s="35">
      <c r="A254" s="21" t="inlineStr">
        <is>
          <t>S-250</t>
        </is>
      </c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19" t="n"/>
      <c r="L254" s="19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19" t="n"/>
      <c r="AD254" s="21" t="n"/>
      <c r="AE254" s="21" t="n"/>
      <c r="AF254" s="21">
        <f>IF($H254="","",IF($T254="To find","Not started",IF(($C254="")+($D254="")+($E254="")+($G254="")+($I254="")+($M254="")+($O254="")+($S254="")&gt;0,"Missing basic details",IF(AND($T254="Downloaded",($R254="")+($U254="")+($V254="")+(($W254="")*(RIGHT(LOWER($U254),4)=".pdf"))&gt;0),"Add file details",IF(AND($T254="Downloaded",LEN($X254)&lt;&gt;64),"Check SHA-256",IF(AND($Q254="",$R254=""),"Add a URL",IF($S254="No","Not official - replace",IF($M254="Not verified","Verify status","OK"))))))))</f>
        <v/>
      </c>
      <c r="AG254" s="21" t="n"/>
      <c r="AH254" s="21" t="n"/>
      <c r="AI254" s="21" t="n"/>
    </row>
    <row r="255" ht="14.25" customHeight="1" s="35">
      <c r="A255" s="21" t="inlineStr">
        <is>
          <t>S-251</t>
        </is>
      </c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19" t="n"/>
      <c r="L255" s="19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19" t="n"/>
      <c r="AD255" s="21" t="n"/>
      <c r="AE255" s="21" t="n"/>
      <c r="AF255" s="21">
        <f>IF($H255="","",IF($T255="To find","Not started",IF(($C255="")+($D255="")+($E255="")+($G255="")+($I255="")+($M255="")+($O255="")+($S255="")&gt;0,"Missing basic details",IF(AND($T255="Downloaded",($R255="")+($U255="")+($V255="")+(($W255="")*(RIGHT(LOWER($U255),4)=".pdf"))&gt;0),"Add file details",IF(AND($T255="Downloaded",LEN($X255)&lt;&gt;64),"Check SHA-256",IF(AND($Q255="",$R255=""),"Add a URL",IF($S255="No","Not official - replace",IF($M255="Not verified","Verify status","OK"))))))))</f>
        <v/>
      </c>
      <c r="AG255" s="21" t="n"/>
      <c r="AH255" s="21" t="n"/>
      <c r="AI255" s="21" t="n"/>
    </row>
    <row r="256" ht="14.25" customHeight="1" s="35">
      <c r="A256" s="21" t="inlineStr">
        <is>
          <t>S-252</t>
        </is>
      </c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19" t="n"/>
      <c r="L256" s="19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19" t="n"/>
      <c r="AD256" s="21" t="n"/>
      <c r="AE256" s="21" t="n"/>
      <c r="AF256" s="21">
        <f>IF($H256="","",IF($T256="To find","Not started",IF(($C256="")+($D256="")+($E256="")+($G256="")+($I256="")+($M256="")+($O256="")+($S256="")&gt;0,"Missing basic details",IF(AND($T256="Downloaded",($R256="")+($U256="")+($V256="")+(($W256="")*(RIGHT(LOWER($U256),4)=".pdf"))&gt;0),"Add file details",IF(AND($T256="Downloaded",LEN($X256)&lt;&gt;64),"Check SHA-256",IF(AND($Q256="",$R256=""),"Add a URL",IF($S256="No","Not official - replace",IF($M256="Not verified","Verify status","OK"))))))))</f>
        <v/>
      </c>
      <c r="AG256" s="21" t="n"/>
      <c r="AH256" s="21" t="n"/>
      <c r="AI256" s="21" t="n"/>
    </row>
    <row r="257" ht="14.25" customHeight="1" s="35">
      <c r="A257" s="21" t="inlineStr">
        <is>
          <t>S-253</t>
        </is>
      </c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19" t="n"/>
      <c r="L257" s="19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19" t="n"/>
      <c r="AD257" s="21" t="n"/>
      <c r="AE257" s="21" t="n"/>
      <c r="AF257" s="21">
        <f>IF($H257="","",IF($T257="To find","Not started",IF(($C257="")+($D257="")+($E257="")+($G257="")+($I257="")+($M257="")+($O257="")+($S257="")&gt;0,"Missing basic details",IF(AND($T257="Downloaded",($R257="")+($U257="")+($V257="")+(($W257="")*(RIGHT(LOWER($U257),4)=".pdf"))&gt;0),"Add file details",IF(AND($T257="Downloaded",LEN($X257)&lt;&gt;64),"Check SHA-256",IF(AND($Q257="",$R257=""),"Add a URL",IF($S257="No","Not official - replace",IF($M257="Not verified","Verify status","OK"))))))))</f>
        <v/>
      </c>
      <c r="AG257" s="21" t="n"/>
      <c r="AH257" s="21" t="n"/>
      <c r="AI257" s="21" t="n"/>
    </row>
    <row r="258" ht="14.25" customHeight="1" s="35">
      <c r="A258" s="21" t="inlineStr">
        <is>
          <t>S-254</t>
        </is>
      </c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19" t="n"/>
      <c r="L258" s="19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19" t="n"/>
      <c r="AD258" s="21" t="n"/>
      <c r="AE258" s="21" t="n"/>
      <c r="AF258" s="21">
        <f>IF($H258="","",IF($T258="To find","Not started",IF(($C258="")+($D258="")+($E258="")+($G258="")+($I258="")+($M258="")+($O258="")+($S258="")&gt;0,"Missing basic details",IF(AND($T258="Downloaded",($R258="")+($U258="")+($V258="")+(($W258="")*(RIGHT(LOWER($U258),4)=".pdf"))&gt;0),"Add file details",IF(AND($T258="Downloaded",LEN($X258)&lt;&gt;64),"Check SHA-256",IF(AND($Q258="",$R258=""),"Add a URL",IF($S258="No","Not official - replace",IF($M258="Not verified","Verify status","OK"))))))))</f>
        <v/>
      </c>
      <c r="AG258" s="21" t="n"/>
      <c r="AH258" s="21" t="n"/>
      <c r="AI258" s="21" t="n"/>
    </row>
    <row r="259" ht="14.25" customHeight="1" s="35">
      <c r="A259" s="21" t="inlineStr">
        <is>
          <t>S-255</t>
        </is>
      </c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19" t="n"/>
      <c r="L259" s="19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19" t="n"/>
      <c r="AD259" s="21" t="n"/>
      <c r="AE259" s="21" t="n"/>
      <c r="AF259" s="21">
        <f>IF($H259="","",IF($T259="To find","Not started",IF(($C259="")+($D259="")+($E259="")+($G259="")+($I259="")+($M259="")+($O259="")+($S259="")&gt;0,"Missing basic details",IF(AND($T259="Downloaded",($R259="")+($U259="")+($V259="")+(($W259="")*(RIGHT(LOWER($U259),4)=".pdf"))&gt;0),"Add file details",IF(AND($T259="Downloaded",LEN($X259)&lt;&gt;64),"Check SHA-256",IF(AND($Q259="",$R259=""),"Add a URL",IF($S259="No","Not official - replace",IF($M259="Not verified","Verify status","OK"))))))))</f>
        <v/>
      </c>
      <c r="AG259" s="21" t="n"/>
      <c r="AH259" s="21" t="n"/>
      <c r="AI259" s="21" t="n"/>
    </row>
    <row r="260" ht="14.25" customHeight="1" s="35">
      <c r="A260" s="21" t="inlineStr">
        <is>
          <t>S-256</t>
        </is>
      </c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19" t="n"/>
      <c r="L260" s="19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21" t="n"/>
      <c r="AC260" s="19" t="n"/>
      <c r="AD260" s="21" t="n"/>
      <c r="AE260" s="21" t="n"/>
      <c r="AF260" s="21">
        <f>IF($H260="","",IF($T260="To find","Not started",IF(($C260="")+($D260="")+($E260="")+($G260="")+($I260="")+($M260="")+($O260="")+($S260="")&gt;0,"Missing basic details",IF(AND($T260="Downloaded",($R260="")+($U260="")+($V260="")+(($W260="")*(RIGHT(LOWER($U260),4)=".pdf"))&gt;0),"Add file details",IF(AND($T260="Downloaded",LEN($X260)&lt;&gt;64),"Check SHA-256",IF(AND($Q260="",$R260=""),"Add a URL",IF($S260="No","Not official - replace",IF($M260="Not verified","Verify status","OK"))))))))</f>
        <v/>
      </c>
      <c r="AG260" s="21" t="n"/>
      <c r="AH260" s="21" t="n"/>
      <c r="AI260" s="21" t="n"/>
    </row>
    <row r="261" ht="14.25" customHeight="1" s="35">
      <c r="A261" s="21" t="inlineStr">
        <is>
          <t>S-257</t>
        </is>
      </c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19" t="n"/>
      <c r="L261" s="19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19" t="n"/>
      <c r="AD261" s="21" t="n"/>
      <c r="AE261" s="21" t="n"/>
      <c r="AF261" s="21">
        <f>IF($H261="","",IF($T261="To find","Not started",IF(($C261="")+($D261="")+($E261="")+($G261="")+($I261="")+($M261="")+($O261="")+($S261="")&gt;0,"Missing basic details",IF(AND($T261="Downloaded",($R261="")+($U261="")+($V261="")+(($W261="")*(RIGHT(LOWER($U261),4)=".pdf"))&gt;0),"Add file details",IF(AND($T261="Downloaded",LEN($X261)&lt;&gt;64),"Check SHA-256",IF(AND($Q261="",$R261=""),"Add a URL",IF($S261="No","Not official - replace",IF($M261="Not verified","Verify status","OK"))))))))</f>
        <v/>
      </c>
      <c r="AG261" s="21" t="n"/>
      <c r="AH261" s="21" t="n"/>
      <c r="AI261" s="21" t="n"/>
    </row>
    <row r="262" ht="14.25" customHeight="1" s="35">
      <c r="A262" s="21" t="inlineStr">
        <is>
          <t>S-258</t>
        </is>
      </c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19" t="n"/>
      <c r="L262" s="19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19" t="n"/>
      <c r="AD262" s="21" t="n"/>
      <c r="AE262" s="21" t="n"/>
      <c r="AF262" s="21">
        <f>IF($H262="","",IF($T262="To find","Not started",IF(($C262="")+($D262="")+($E262="")+($G262="")+($I262="")+($M262="")+($O262="")+($S262="")&gt;0,"Missing basic details",IF(AND($T262="Downloaded",($R262="")+($U262="")+($V262="")+(($W262="")*(RIGHT(LOWER($U262),4)=".pdf"))&gt;0),"Add file details",IF(AND($T262="Downloaded",LEN($X262)&lt;&gt;64),"Check SHA-256",IF(AND($Q262="",$R262=""),"Add a URL",IF($S262="No","Not official - replace",IF($M262="Not verified","Verify status","OK"))))))))</f>
        <v/>
      </c>
      <c r="AG262" s="21" t="n"/>
      <c r="AH262" s="21" t="n"/>
      <c r="AI262" s="21" t="n"/>
    </row>
    <row r="263" ht="14.25" customHeight="1" s="35">
      <c r="A263" s="21" t="inlineStr">
        <is>
          <t>S-259</t>
        </is>
      </c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19" t="n"/>
      <c r="L263" s="19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19" t="n"/>
      <c r="AD263" s="21" t="n"/>
      <c r="AE263" s="21" t="n"/>
      <c r="AF263" s="21">
        <f>IF($H263="","",IF($T263="To find","Not started",IF(($C263="")+($D263="")+($E263="")+($G263="")+($I263="")+($M263="")+($O263="")+($S263="")&gt;0,"Missing basic details",IF(AND($T263="Downloaded",($R263="")+($U263="")+($V263="")+(($W263="")*(RIGHT(LOWER($U263),4)=".pdf"))&gt;0),"Add file details",IF(AND($T263="Downloaded",LEN($X263)&lt;&gt;64),"Check SHA-256",IF(AND($Q263="",$R263=""),"Add a URL",IF($S263="No","Not official - replace",IF($M263="Not verified","Verify status","OK"))))))))</f>
        <v/>
      </c>
      <c r="AG263" s="21" t="n"/>
      <c r="AH263" s="21" t="n"/>
      <c r="AI263" s="21" t="n"/>
    </row>
    <row r="264" ht="14.25" customHeight="1" s="35">
      <c r="A264" s="21" t="inlineStr">
        <is>
          <t>S-260</t>
        </is>
      </c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19" t="n"/>
      <c r="L264" s="19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19" t="n"/>
      <c r="AD264" s="21" t="n"/>
      <c r="AE264" s="21" t="n"/>
      <c r="AF264" s="21">
        <f>IF($H264="","",IF($T264="To find","Not started",IF(($C264="")+($D264="")+($E264="")+($G264="")+($I264="")+($M264="")+($O264="")+($S264="")&gt;0,"Missing basic details",IF(AND($T264="Downloaded",($R264="")+($U264="")+($V264="")+(($W264="")*(RIGHT(LOWER($U264),4)=".pdf"))&gt;0),"Add file details",IF(AND($T264="Downloaded",LEN($X264)&lt;&gt;64),"Check SHA-256",IF(AND($Q264="",$R264=""),"Add a URL",IF($S264="No","Not official - replace",IF($M264="Not verified","Verify status","OK"))))))))</f>
        <v/>
      </c>
      <c r="AG264" s="21" t="n"/>
      <c r="AH264" s="21" t="n"/>
      <c r="AI264" s="21" t="n"/>
    </row>
    <row r="265" ht="14.25" customHeight="1" s="35">
      <c r="A265" s="21" t="inlineStr">
        <is>
          <t>S-261</t>
        </is>
      </c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19" t="n"/>
      <c r="L265" s="19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19" t="n"/>
      <c r="AD265" s="21" t="n"/>
      <c r="AE265" s="21" t="n"/>
      <c r="AF265" s="21">
        <f>IF($H265="","",IF($T265="To find","Not started",IF(($C265="")+($D265="")+($E265="")+($G265="")+($I265="")+($M265="")+($O265="")+($S265="")&gt;0,"Missing basic details",IF(AND($T265="Downloaded",($R265="")+($U265="")+($V265="")+(($W265="")*(RIGHT(LOWER($U265),4)=".pdf"))&gt;0),"Add file details",IF(AND($T265="Downloaded",LEN($X265)&lt;&gt;64),"Check SHA-256",IF(AND($Q265="",$R265=""),"Add a URL",IF($S265="No","Not official - replace",IF($M265="Not verified","Verify status","OK"))))))))</f>
        <v/>
      </c>
      <c r="AG265" s="21" t="n"/>
      <c r="AH265" s="21" t="n"/>
      <c r="AI265" s="21" t="n"/>
    </row>
    <row r="266" ht="14.25" customHeight="1" s="35">
      <c r="A266" s="21" t="inlineStr">
        <is>
          <t>S-262</t>
        </is>
      </c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19" t="n"/>
      <c r="L266" s="19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19" t="n"/>
      <c r="AD266" s="21" t="n"/>
      <c r="AE266" s="21" t="n"/>
      <c r="AF266" s="21">
        <f>IF($H266="","",IF($T266="To find","Not started",IF(($C266="")+($D266="")+($E266="")+($G266="")+($I266="")+($M266="")+($O266="")+($S266="")&gt;0,"Missing basic details",IF(AND($T266="Downloaded",($R266="")+($U266="")+($V266="")+(($W266="")*(RIGHT(LOWER($U266),4)=".pdf"))&gt;0),"Add file details",IF(AND($T266="Downloaded",LEN($X266)&lt;&gt;64),"Check SHA-256",IF(AND($Q266="",$R266=""),"Add a URL",IF($S266="No","Not official - replace",IF($M266="Not verified","Verify status","OK"))))))))</f>
        <v/>
      </c>
      <c r="AG266" s="21" t="n"/>
      <c r="AH266" s="21" t="n"/>
      <c r="AI266" s="21" t="n"/>
    </row>
    <row r="267" ht="14.25" customHeight="1" s="35">
      <c r="A267" s="21" t="inlineStr">
        <is>
          <t>S-263</t>
        </is>
      </c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19" t="n"/>
      <c r="L267" s="19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19" t="n"/>
      <c r="AD267" s="21" t="n"/>
      <c r="AE267" s="21" t="n"/>
      <c r="AF267" s="21">
        <f>IF($H267="","",IF($T267="To find","Not started",IF(($C267="")+($D267="")+($E267="")+($G267="")+($I267="")+($M267="")+($O267="")+($S267="")&gt;0,"Missing basic details",IF(AND($T267="Downloaded",($R267="")+($U267="")+($V267="")+(($W267="")*(RIGHT(LOWER($U267),4)=".pdf"))&gt;0),"Add file details",IF(AND($T267="Downloaded",LEN($X267)&lt;&gt;64),"Check SHA-256",IF(AND($Q267="",$R267=""),"Add a URL",IF($S267="No","Not official - replace",IF($M267="Not verified","Verify status","OK"))))))))</f>
        <v/>
      </c>
      <c r="AG267" s="21" t="n"/>
      <c r="AH267" s="21" t="n"/>
      <c r="AI267" s="21" t="n"/>
    </row>
    <row r="268" ht="14.25" customHeight="1" s="35">
      <c r="A268" s="21" t="inlineStr">
        <is>
          <t>S-264</t>
        </is>
      </c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19" t="n"/>
      <c r="L268" s="19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21" t="n"/>
      <c r="AC268" s="19" t="n"/>
      <c r="AD268" s="21" t="n"/>
      <c r="AE268" s="21" t="n"/>
      <c r="AF268" s="21">
        <f>IF($H268="","",IF($T268="To find","Not started",IF(($C268="")+($D268="")+($E268="")+($G268="")+($I268="")+($M268="")+($O268="")+($S268="")&gt;0,"Missing basic details",IF(AND($T268="Downloaded",($R268="")+($U268="")+($V268="")+(($W268="")*(RIGHT(LOWER($U268),4)=".pdf"))&gt;0),"Add file details",IF(AND($T268="Downloaded",LEN($X268)&lt;&gt;64),"Check SHA-256",IF(AND($Q268="",$R268=""),"Add a URL",IF($S268="No","Not official - replace",IF($M268="Not verified","Verify status","OK"))))))))</f>
        <v/>
      </c>
      <c r="AG268" s="21" t="n"/>
      <c r="AH268" s="21" t="n"/>
      <c r="AI268" s="21" t="n"/>
    </row>
    <row r="269" ht="14.25" customHeight="1" s="35">
      <c r="A269" s="21" t="inlineStr">
        <is>
          <t>S-265</t>
        </is>
      </c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19" t="n"/>
      <c r="L269" s="19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19" t="n"/>
      <c r="AD269" s="21" t="n"/>
      <c r="AE269" s="21" t="n"/>
      <c r="AF269" s="21">
        <f>IF($H269="","",IF($T269="To find","Not started",IF(($C269="")+($D269="")+($E269="")+($G269="")+($I269="")+($M269="")+($O269="")+($S269="")&gt;0,"Missing basic details",IF(AND($T269="Downloaded",($R269="")+($U269="")+($V269="")+(($W269="")*(RIGHT(LOWER($U269),4)=".pdf"))&gt;0),"Add file details",IF(AND($T269="Downloaded",LEN($X269)&lt;&gt;64),"Check SHA-256",IF(AND($Q269="",$R269=""),"Add a URL",IF($S269="No","Not official - replace",IF($M269="Not verified","Verify status","OK"))))))))</f>
        <v/>
      </c>
      <c r="AG269" s="21" t="n"/>
      <c r="AH269" s="21" t="n"/>
      <c r="AI269" s="21" t="n"/>
    </row>
    <row r="270" ht="14.25" customHeight="1" s="35">
      <c r="A270" s="21" t="inlineStr">
        <is>
          <t>S-266</t>
        </is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19" t="n"/>
      <c r="L270" s="19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19" t="n"/>
      <c r="AD270" s="21" t="n"/>
      <c r="AE270" s="21" t="n"/>
      <c r="AF270" s="21">
        <f>IF($H270="","",IF($T270="To find","Not started",IF(($C270="")+($D270="")+($E270="")+($G270="")+($I270="")+($M270="")+($O270="")+($S270="")&gt;0,"Missing basic details",IF(AND($T270="Downloaded",($R270="")+($U270="")+($V270="")+(($W270="")*(RIGHT(LOWER($U270),4)=".pdf"))&gt;0),"Add file details",IF(AND($T270="Downloaded",LEN($X270)&lt;&gt;64),"Check SHA-256",IF(AND($Q270="",$R270=""),"Add a URL",IF($S270="No","Not official - replace",IF($M270="Not verified","Verify status","OK"))))))))</f>
        <v/>
      </c>
      <c r="AG270" s="21" t="n"/>
      <c r="AH270" s="21" t="n"/>
      <c r="AI270" s="21" t="n"/>
    </row>
    <row r="271" ht="14.25" customHeight="1" s="35">
      <c r="A271" s="21" t="inlineStr">
        <is>
          <t>S-267</t>
        </is>
      </c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19" t="n"/>
      <c r="L271" s="19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19" t="n"/>
      <c r="AD271" s="21" t="n"/>
      <c r="AE271" s="21" t="n"/>
      <c r="AF271" s="21">
        <f>IF($H271="","",IF($T271="To find","Not started",IF(($C271="")+($D271="")+($E271="")+($G271="")+($I271="")+($M271="")+($O271="")+($S271="")&gt;0,"Missing basic details",IF(AND($T271="Downloaded",($R271="")+($U271="")+($V271="")+(($W271="")*(RIGHT(LOWER($U271),4)=".pdf"))&gt;0),"Add file details",IF(AND($T271="Downloaded",LEN($X271)&lt;&gt;64),"Check SHA-256",IF(AND($Q271="",$R271=""),"Add a URL",IF($S271="No","Not official - replace",IF($M271="Not verified","Verify status","OK"))))))))</f>
        <v/>
      </c>
      <c r="AG271" s="21" t="n"/>
      <c r="AH271" s="21" t="n"/>
      <c r="AI271" s="21" t="n"/>
    </row>
    <row r="272" ht="14.25" customHeight="1" s="35">
      <c r="A272" s="21" t="inlineStr">
        <is>
          <t>S-268</t>
        </is>
      </c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19" t="n"/>
      <c r="L272" s="19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21" t="n"/>
      <c r="AC272" s="19" t="n"/>
      <c r="AD272" s="21" t="n"/>
      <c r="AE272" s="21" t="n"/>
      <c r="AF272" s="21">
        <f>IF($H272="","",IF($T272="To find","Not started",IF(($C272="")+($D272="")+($E272="")+($G272="")+($I272="")+($M272="")+($O272="")+($S272="")&gt;0,"Missing basic details",IF(AND($T272="Downloaded",($R272="")+($U272="")+($V272="")+(($W272="")*(RIGHT(LOWER($U272),4)=".pdf"))&gt;0),"Add file details",IF(AND($T272="Downloaded",LEN($X272)&lt;&gt;64),"Check SHA-256",IF(AND($Q272="",$R272=""),"Add a URL",IF($S272="No","Not official - replace",IF($M272="Not verified","Verify status","OK"))))))))</f>
        <v/>
      </c>
      <c r="AG272" s="21" t="n"/>
      <c r="AH272" s="21" t="n"/>
      <c r="AI272" s="21" t="n"/>
    </row>
    <row r="273" ht="14.25" customHeight="1" s="35">
      <c r="A273" s="21" t="inlineStr">
        <is>
          <t>S-269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19" t="n"/>
      <c r="L273" s="19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19" t="n"/>
      <c r="AD273" s="21" t="n"/>
      <c r="AE273" s="21" t="n"/>
      <c r="AF273" s="21">
        <f>IF($H273="","",IF($T273="To find","Not started",IF(($C273="")+($D273="")+($E273="")+($G273="")+($I273="")+($M273="")+($O273="")+($S273="")&gt;0,"Missing basic details",IF(AND($T273="Downloaded",($R273="")+($U273="")+($V273="")+(($W273="")*(RIGHT(LOWER($U273),4)=".pdf"))&gt;0),"Add file details",IF(AND($T273="Downloaded",LEN($X273)&lt;&gt;64),"Check SHA-256",IF(AND($Q273="",$R273=""),"Add a URL",IF($S273="No","Not official - replace",IF($M273="Not verified","Verify status","OK"))))))))</f>
        <v/>
      </c>
      <c r="AG273" s="21" t="n"/>
      <c r="AH273" s="21" t="n"/>
      <c r="AI273" s="21" t="n"/>
    </row>
    <row r="274" ht="14.25" customHeight="1" s="35">
      <c r="A274" s="21" t="inlineStr">
        <is>
          <t>S-270</t>
        </is>
      </c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19" t="n"/>
      <c r="L274" s="19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21" t="n"/>
      <c r="AC274" s="19" t="n"/>
      <c r="AD274" s="21" t="n"/>
      <c r="AE274" s="21" t="n"/>
      <c r="AF274" s="21">
        <f>IF($H274="","",IF($T274="To find","Not started",IF(($C274="")+($D274="")+($E274="")+($G274="")+($I274="")+($M274="")+($O274="")+($S274="")&gt;0,"Missing basic details",IF(AND($T274="Downloaded",($R274="")+($U274="")+($V274="")+(($W274="")*(RIGHT(LOWER($U274),4)=".pdf"))&gt;0),"Add file details",IF(AND($T274="Downloaded",LEN($X274)&lt;&gt;64),"Check SHA-256",IF(AND($Q274="",$R274=""),"Add a URL",IF($S274="No","Not official - replace",IF($M274="Not verified","Verify status","OK"))))))))</f>
        <v/>
      </c>
      <c r="AG274" s="21" t="n"/>
      <c r="AH274" s="21" t="n"/>
      <c r="AI274" s="21" t="n"/>
    </row>
    <row r="275" ht="14.25" customHeight="1" s="35">
      <c r="A275" s="21" t="inlineStr">
        <is>
          <t>S-271</t>
        </is>
      </c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19" t="n"/>
      <c r="L275" s="19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19" t="n"/>
      <c r="AD275" s="21" t="n"/>
      <c r="AE275" s="21" t="n"/>
      <c r="AF275" s="21">
        <f>IF($H275="","",IF($T275="To find","Not started",IF(($C275="")+($D275="")+($E275="")+($G275="")+($I275="")+($M275="")+($O275="")+($S275="")&gt;0,"Missing basic details",IF(AND($T275="Downloaded",($R275="")+($U275="")+($V275="")+(($W275="")*(RIGHT(LOWER($U275),4)=".pdf"))&gt;0),"Add file details",IF(AND($T275="Downloaded",LEN($X275)&lt;&gt;64),"Check SHA-256",IF(AND($Q275="",$R275=""),"Add a URL",IF($S275="No","Not official - replace",IF($M275="Not verified","Verify status","OK"))))))))</f>
        <v/>
      </c>
      <c r="AG275" s="21" t="n"/>
      <c r="AH275" s="21" t="n"/>
      <c r="AI275" s="21" t="n"/>
    </row>
    <row r="276" ht="14.25" customHeight="1" s="35">
      <c r="A276" s="21" t="inlineStr">
        <is>
          <t>S-272</t>
        </is>
      </c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19" t="n"/>
      <c r="L276" s="19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21" t="n"/>
      <c r="AC276" s="19" t="n"/>
      <c r="AD276" s="21" t="n"/>
      <c r="AE276" s="21" t="n"/>
      <c r="AF276" s="21">
        <f>IF($H276="","",IF($T276="To find","Not started",IF(($C276="")+($D276="")+($E276="")+($G276="")+($I276="")+($M276="")+($O276="")+($S276="")&gt;0,"Missing basic details",IF(AND($T276="Downloaded",($R276="")+($U276="")+($V276="")+(($W276="")*(RIGHT(LOWER($U276),4)=".pdf"))&gt;0),"Add file details",IF(AND($T276="Downloaded",LEN($X276)&lt;&gt;64),"Check SHA-256",IF(AND($Q276="",$R276=""),"Add a URL",IF($S276="No","Not official - replace",IF($M276="Not verified","Verify status","OK"))))))))</f>
        <v/>
      </c>
      <c r="AG276" s="21" t="n"/>
      <c r="AH276" s="21" t="n"/>
      <c r="AI276" s="21" t="n"/>
    </row>
    <row r="277" ht="14.25" customHeight="1" s="35">
      <c r="A277" s="21" t="inlineStr">
        <is>
          <t>S-273</t>
        </is>
      </c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19" t="n"/>
      <c r="L277" s="19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19" t="n"/>
      <c r="AD277" s="21" t="n"/>
      <c r="AE277" s="21" t="n"/>
      <c r="AF277" s="21">
        <f>IF($H277="","",IF($T277="To find","Not started",IF(($C277="")+($D277="")+($E277="")+($G277="")+($I277="")+($M277="")+($O277="")+($S277="")&gt;0,"Missing basic details",IF(AND($T277="Downloaded",($R277="")+($U277="")+($V277="")+(($W277="")*(RIGHT(LOWER($U277),4)=".pdf"))&gt;0),"Add file details",IF(AND($T277="Downloaded",LEN($X277)&lt;&gt;64),"Check SHA-256",IF(AND($Q277="",$R277=""),"Add a URL",IF($S277="No","Not official - replace",IF($M277="Not verified","Verify status","OK"))))))))</f>
        <v/>
      </c>
      <c r="AG277" s="21" t="n"/>
      <c r="AH277" s="21" t="n"/>
      <c r="AI277" s="21" t="n"/>
    </row>
    <row r="278" ht="14.25" customHeight="1" s="35">
      <c r="A278" s="21" t="inlineStr">
        <is>
          <t>S-274</t>
        </is>
      </c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19" t="n"/>
      <c r="L278" s="19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21" t="n"/>
      <c r="AC278" s="19" t="n"/>
      <c r="AD278" s="21" t="n"/>
      <c r="AE278" s="21" t="n"/>
      <c r="AF278" s="21">
        <f>IF($H278="","",IF($T278="To find","Not started",IF(($C278="")+($D278="")+($E278="")+($G278="")+($I278="")+($M278="")+($O278="")+($S278="")&gt;0,"Missing basic details",IF(AND($T278="Downloaded",($R278="")+($U278="")+($V278="")+(($W278="")*(RIGHT(LOWER($U278),4)=".pdf"))&gt;0),"Add file details",IF(AND($T278="Downloaded",LEN($X278)&lt;&gt;64),"Check SHA-256",IF(AND($Q278="",$R278=""),"Add a URL",IF($S278="No","Not official - replace",IF($M278="Not verified","Verify status","OK"))))))))</f>
        <v/>
      </c>
      <c r="AG278" s="21" t="n"/>
      <c r="AH278" s="21" t="n"/>
      <c r="AI278" s="21" t="n"/>
    </row>
    <row r="279" ht="14.25" customHeight="1" s="35">
      <c r="A279" s="21" t="inlineStr">
        <is>
          <t>S-275</t>
        </is>
      </c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19" t="n"/>
      <c r="L279" s="19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19" t="n"/>
      <c r="AD279" s="21" t="n"/>
      <c r="AE279" s="21" t="n"/>
      <c r="AF279" s="21">
        <f>IF($H279="","",IF($T279="To find","Not started",IF(($C279="")+($D279="")+($E279="")+($G279="")+($I279="")+($M279="")+($O279="")+($S279="")&gt;0,"Missing basic details",IF(AND($T279="Downloaded",($R279="")+($U279="")+($V279="")+(($W279="")*(RIGHT(LOWER($U279),4)=".pdf"))&gt;0),"Add file details",IF(AND($T279="Downloaded",LEN($X279)&lt;&gt;64),"Check SHA-256",IF(AND($Q279="",$R279=""),"Add a URL",IF($S279="No","Not official - replace",IF($M279="Not verified","Verify status","OK"))))))))</f>
        <v/>
      </c>
      <c r="AG279" s="21" t="n"/>
      <c r="AH279" s="21" t="n"/>
      <c r="AI279" s="21" t="n"/>
    </row>
    <row r="280" ht="14.25" customHeight="1" s="35">
      <c r="A280" s="21" t="inlineStr">
        <is>
          <t>S-276</t>
        </is>
      </c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19" t="n"/>
      <c r="L280" s="19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19" t="n"/>
      <c r="AD280" s="21" t="n"/>
      <c r="AE280" s="21" t="n"/>
      <c r="AF280" s="21">
        <f>IF($H280="","",IF($T280="To find","Not started",IF(($C280="")+($D280="")+($E280="")+($G280="")+($I280="")+($M280="")+($O280="")+($S280="")&gt;0,"Missing basic details",IF(AND($T280="Downloaded",($R280="")+($U280="")+($V280="")+(($W280="")*(RIGHT(LOWER($U280),4)=".pdf"))&gt;0),"Add file details",IF(AND($T280="Downloaded",LEN($X280)&lt;&gt;64),"Check SHA-256",IF(AND($Q280="",$R280=""),"Add a URL",IF($S280="No","Not official - replace",IF($M280="Not verified","Verify status","OK"))))))))</f>
        <v/>
      </c>
      <c r="AG280" s="21" t="n"/>
      <c r="AH280" s="21" t="n"/>
      <c r="AI280" s="21" t="n"/>
    </row>
    <row r="281" ht="14.25" customHeight="1" s="35">
      <c r="A281" s="21" t="inlineStr">
        <is>
          <t>S-277</t>
        </is>
      </c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19" t="n"/>
      <c r="L281" s="19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19" t="n"/>
      <c r="AD281" s="21" t="n"/>
      <c r="AE281" s="21" t="n"/>
      <c r="AF281" s="21">
        <f>IF($H281="","",IF($T281="To find","Not started",IF(($C281="")+($D281="")+($E281="")+($G281="")+($I281="")+($M281="")+($O281="")+($S281="")&gt;0,"Missing basic details",IF(AND($T281="Downloaded",($R281="")+($U281="")+($V281="")+(($W281="")*(RIGHT(LOWER($U281),4)=".pdf"))&gt;0),"Add file details",IF(AND($T281="Downloaded",LEN($X281)&lt;&gt;64),"Check SHA-256",IF(AND($Q281="",$R281=""),"Add a URL",IF($S281="No","Not official - replace",IF($M281="Not verified","Verify status","OK"))))))))</f>
        <v/>
      </c>
      <c r="AG281" s="21" t="n"/>
      <c r="AH281" s="21" t="n"/>
      <c r="AI281" s="21" t="n"/>
    </row>
    <row r="282" ht="14.25" customHeight="1" s="35">
      <c r="A282" s="21" t="inlineStr">
        <is>
          <t>S-278</t>
        </is>
      </c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19" t="n"/>
      <c r="L282" s="19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19" t="n"/>
      <c r="AD282" s="21" t="n"/>
      <c r="AE282" s="21" t="n"/>
      <c r="AF282" s="21">
        <f>IF($H282="","",IF($T282="To find","Not started",IF(($C282="")+($D282="")+($E282="")+($G282="")+($I282="")+($M282="")+($O282="")+($S282="")&gt;0,"Missing basic details",IF(AND($T282="Downloaded",($R282="")+($U282="")+($V282="")+(($W282="")*(RIGHT(LOWER($U282),4)=".pdf"))&gt;0),"Add file details",IF(AND($T282="Downloaded",LEN($X282)&lt;&gt;64),"Check SHA-256",IF(AND($Q282="",$R282=""),"Add a URL",IF($S282="No","Not official - replace",IF($M282="Not verified","Verify status","OK"))))))))</f>
        <v/>
      </c>
      <c r="AG282" s="21" t="n"/>
      <c r="AH282" s="21" t="n"/>
      <c r="AI282" s="21" t="n"/>
    </row>
    <row r="283" ht="14.25" customHeight="1" s="35">
      <c r="A283" s="21" t="inlineStr">
        <is>
          <t>S-279</t>
        </is>
      </c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19" t="n"/>
      <c r="L283" s="19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19" t="n"/>
      <c r="AD283" s="21" t="n"/>
      <c r="AE283" s="21" t="n"/>
      <c r="AF283" s="21">
        <f>IF($H283="","",IF($T283="To find","Not started",IF(($C283="")+($D283="")+($E283="")+($G283="")+($I283="")+($M283="")+($O283="")+($S283="")&gt;0,"Missing basic details",IF(AND($T283="Downloaded",($R283="")+($U283="")+($V283="")+(($W283="")*(RIGHT(LOWER($U283),4)=".pdf"))&gt;0),"Add file details",IF(AND($T283="Downloaded",LEN($X283)&lt;&gt;64),"Check SHA-256",IF(AND($Q283="",$R283=""),"Add a URL",IF($S283="No","Not official - replace",IF($M283="Not verified","Verify status","OK"))))))))</f>
        <v/>
      </c>
      <c r="AG283" s="21" t="n"/>
      <c r="AH283" s="21" t="n"/>
      <c r="AI283" s="21" t="n"/>
    </row>
    <row r="284" ht="14.25" customHeight="1" s="35">
      <c r="A284" s="21" t="inlineStr">
        <is>
          <t>S-280</t>
        </is>
      </c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19" t="n"/>
      <c r="L284" s="19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19" t="n"/>
      <c r="AD284" s="21" t="n"/>
      <c r="AE284" s="21" t="n"/>
      <c r="AF284" s="21">
        <f>IF($H284="","",IF($T284="To find","Not started",IF(($C284="")+($D284="")+($E284="")+($G284="")+($I284="")+($M284="")+($O284="")+($S284="")&gt;0,"Missing basic details",IF(AND($T284="Downloaded",($R284="")+($U284="")+($V284="")+(($W284="")*(RIGHT(LOWER($U284),4)=".pdf"))&gt;0),"Add file details",IF(AND($T284="Downloaded",LEN($X284)&lt;&gt;64),"Check SHA-256",IF(AND($Q284="",$R284=""),"Add a URL",IF($S284="No","Not official - replace",IF($M284="Not verified","Verify status","OK"))))))))</f>
        <v/>
      </c>
      <c r="AG284" s="21" t="n"/>
      <c r="AH284" s="21" t="n"/>
      <c r="AI284" s="21" t="n"/>
    </row>
    <row r="285" ht="14.25" customHeight="1" s="35">
      <c r="A285" s="21" t="inlineStr">
        <is>
          <t>S-281</t>
        </is>
      </c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19" t="n"/>
      <c r="L285" s="19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19" t="n"/>
      <c r="AD285" s="21" t="n"/>
      <c r="AE285" s="21" t="n"/>
      <c r="AF285" s="21">
        <f>IF($H285="","",IF($T285="To find","Not started",IF(($C285="")+($D285="")+($E285="")+($G285="")+($I285="")+($M285="")+($O285="")+($S285="")&gt;0,"Missing basic details",IF(AND($T285="Downloaded",($R285="")+($U285="")+($V285="")+(($W285="")*(RIGHT(LOWER($U285),4)=".pdf"))&gt;0),"Add file details",IF(AND($T285="Downloaded",LEN($X285)&lt;&gt;64),"Check SHA-256",IF(AND($Q285="",$R285=""),"Add a URL",IF($S285="No","Not official - replace",IF($M285="Not verified","Verify status","OK"))))))))</f>
        <v/>
      </c>
      <c r="AG285" s="21" t="n"/>
      <c r="AH285" s="21" t="n"/>
      <c r="AI285" s="21" t="n"/>
    </row>
    <row r="286" ht="14.25" customHeight="1" s="35">
      <c r="A286" s="21" t="inlineStr">
        <is>
          <t>S-282</t>
        </is>
      </c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19" t="n"/>
      <c r="L286" s="19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21" t="n"/>
      <c r="AC286" s="19" t="n"/>
      <c r="AD286" s="21" t="n"/>
      <c r="AE286" s="21" t="n"/>
      <c r="AF286" s="21">
        <f>IF($H286="","",IF($T286="To find","Not started",IF(($C286="")+($D286="")+($E286="")+($G286="")+($I286="")+($M286="")+($O286="")+($S286="")&gt;0,"Missing basic details",IF(AND($T286="Downloaded",($R286="")+($U286="")+($V286="")+(($W286="")*(RIGHT(LOWER($U286),4)=".pdf"))&gt;0),"Add file details",IF(AND($T286="Downloaded",LEN($X286)&lt;&gt;64),"Check SHA-256",IF(AND($Q286="",$R286=""),"Add a URL",IF($S286="No","Not official - replace",IF($M286="Not verified","Verify status","OK"))))))))</f>
        <v/>
      </c>
      <c r="AG286" s="21" t="n"/>
      <c r="AH286" s="21" t="n"/>
      <c r="AI286" s="21" t="n"/>
    </row>
    <row r="287" ht="14.25" customHeight="1" s="35">
      <c r="A287" s="21" t="inlineStr">
        <is>
          <t>S-283</t>
        </is>
      </c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19" t="n"/>
      <c r="L287" s="19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19" t="n"/>
      <c r="AD287" s="21" t="n"/>
      <c r="AE287" s="21" t="n"/>
      <c r="AF287" s="21">
        <f>IF($H287="","",IF($T287="To find","Not started",IF(($C287="")+($D287="")+($E287="")+($G287="")+($I287="")+($M287="")+($O287="")+($S287="")&gt;0,"Missing basic details",IF(AND($T287="Downloaded",($R287="")+($U287="")+($V287="")+(($W287="")*(RIGHT(LOWER($U287),4)=".pdf"))&gt;0),"Add file details",IF(AND($T287="Downloaded",LEN($X287)&lt;&gt;64),"Check SHA-256",IF(AND($Q287="",$R287=""),"Add a URL",IF($S287="No","Not official - replace",IF($M287="Not verified","Verify status","OK"))))))))</f>
        <v/>
      </c>
      <c r="AG287" s="21" t="n"/>
      <c r="AH287" s="21" t="n"/>
      <c r="AI287" s="21" t="n"/>
    </row>
    <row r="288" ht="14.25" customHeight="1" s="35">
      <c r="A288" s="21" t="inlineStr">
        <is>
          <t>S-284</t>
        </is>
      </c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19" t="n"/>
      <c r="L288" s="19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21" t="n"/>
      <c r="AC288" s="19" t="n"/>
      <c r="AD288" s="21" t="n"/>
      <c r="AE288" s="21" t="n"/>
      <c r="AF288" s="21">
        <f>IF($H288="","",IF($T288="To find","Not started",IF(($C288="")+($D288="")+($E288="")+($G288="")+($I288="")+($M288="")+($O288="")+($S288="")&gt;0,"Missing basic details",IF(AND($T288="Downloaded",($R288="")+($U288="")+($V288="")+(($W288="")*(RIGHT(LOWER($U288),4)=".pdf"))&gt;0),"Add file details",IF(AND($T288="Downloaded",LEN($X288)&lt;&gt;64),"Check SHA-256",IF(AND($Q288="",$R288=""),"Add a URL",IF($S288="No","Not official - replace",IF($M288="Not verified","Verify status","OK"))))))))</f>
        <v/>
      </c>
      <c r="AG288" s="21" t="n"/>
      <c r="AH288" s="21" t="n"/>
      <c r="AI288" s="21" t="n"/>
    </row>
    <row r="289" ht="14.25" customHeight="1" s="35">
      <c r="A289" s="21" t="inlineStr">
        <is>
          <t>S-285</t>
        </is>
      </c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19" t="n"/>
      <c r="L289" s="19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19" t="n"/>
      <c r="AD289" s="21" t="n"/>
      <c r="AE289" s="21" t="n"/>
      <c r="AF289" s="21">
        <f>IF($H289="","",IF($T289="To find","Not started",IF(($C289="")+($D289="")+($E289="")+($G289="")+($I289="")+($M289="")+($O289="")+($S289="")&gt;0,"Missing basic details",IF(AND($T289="Downloaded",($R289="")+($U289="")+($V289="")+(($W289="")*(RIGHT(LOWER($U289),4)=".pdf"))&gt;0),"Add file details",IF(AND($T289="Downloaded",LEN($X289)&lt;&gt;64),"Check SHA-256",IF(AND($Q289="",$R289=""),"Add a URL",IF($S289="No","Not official - replace",IF($M289="Not verified","Verify status","OK"))))))))</f>
        <v/>
      </c>
      <c r="AG289" s="21" t="n"/>
      <c r="AH289" s="21" t="n"/>
      <c r="AI289" s="21" t="n"/>
    </row>
    <row r="290" ht="14.25" customHeight="1" s="35">
      <c r="A290" s="21" t="inlineStr">
        <is>
          <t>S-286</t>
        </is>
      </c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19" t="n"/>
      <c r="L290" s="19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21" t="n"/>
      <c r="AC290" s="19" t="n"/>
      <c r="AD290" s="21" t="n"/>
      <c r="AE290" s="21" t="n"/>
      <c r="AF290" s="21">
        <f>IF($H290="","",IF($T290="To find","Not started",IF(($C290="")+($D290="")+($E290="")+($G290="")+($I290="")+($M290="")+($O290="")+($S290="")&gt;0,"Missing basic details",IF(AND($T290="Downloaded",($R290="")+($U290="")+($V290="")+(($W290="")*(RIGHT(LOWER($U290),4)=".pdf"))&gt;0),"Add file details",IF(AND($T290="Downloaded",LEN($X290)&lt;&gt;64),"Check SHA-256",IF(AND($Q290="",$R290=""),"Add a URL",IF($S290="No","Not official - replace",IF($M290="Not verified","Verify status","OK"))))))))</f>
        <v/>
      </c>
      <c r="AG290" s="21" t="n"/>
      <c r="AH290" s="21" t="n"/>
      <c r="AI290" s="21" t="n"/>
    </row>
    <row r="291" ht="14.25" customHeight="1" s="35">
      <c r="A291" s="21" t="inlineStr">
        <is>
          <t>S-287</t>
        </is>
      </c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19" t="n"/>
      <c r="L291" s="19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19" t="n"/>
      <c r="AD291" s="21" t="n"/>
      <c r="AE291" s="21" t="n"/>
      <c r="AF291" s="21">
        <f>IF($H291="","",IF($T291="To find","Not started",IF(($C291="")+($D291="")+($E291="")+($G291="")+($I291="")+($M291="")+($O291="")+($S291="")&gt;0,"Missing basic details",IF(AND($T291="Downloaded",($R291="")+($U291="")+($V291="")+(($W291="")*(RIGHT(LOWER($U291),4)=".pdf"))&gt;0),"Add file details",IF(AND($T291="Downloaded",LEN($X291)&lt;&gt;64),"Check SHA-256",IF(AND($Q291="",$R291=""),"Add a URL",IF($S291="No","Not official - replace",IF($M291="Not verified","Verify status","OK"))))))))</f>
        <v/>
      </c>
      <c r="AG291" s="21" t="n"/>
      <c r="AH291" s="21" t="n"/>
      <c r="AI291" s="21" t="n"/>
    </row>
    <row r="292" ht="14.25" customHeight="1" s="35">
      <c r="A292" s="21" t="inlineStr">
        <is>
          <t>S-288</t>
        </is>
      </c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19" t="n"/>
      <c r="L292" s="19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21" t="n"/>
      <c r="AC292" s="19" t="n"/>
      <c r="AD292" s="21" t="n"/>
      <c r="AE292" s="21" t="n"/>
      <c r="AF292" s="21">
        <f>IF($H292="","",IF($T292="To find","Not started",IF(($C292="")+($D292="")+($E292="")+($G292="")+($I292="")+($M292="")+($O292="")+($S292="")&gt;0,"Missing basic details",IF(AND($T292="Downloaded",($R292="")+($U292="")+($V292="")+(($W292="")*(RIGHT(LOWER($U292),4)=".pdf"))&gt;0),"Add file details",IF(AND($T292="Downloaded",LEN($X292)&lt;&gt;64),"Check SHA-256",IF(AND($Q292="",$R292=""),"Add a URL",IF($S292="No","Not official - replace",IF($M292="Not verified","Verify status","OK"))))))))</f>
        <v/>
      </c>
      <c r="AG292" s="21" t="n"/>
      <c r="AH292" s="21" t="n"/>
      <c r="AI292" s="21" t="n"/>
    </row>
    <row r="293" ht="14.25" customHeight="1" s="35">
      <c r="A293" s="21" t="inlineStr">
        <is>
          <t>S-289</t>
        </is>
      </c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19" t="n"/>
      <c r="L293" s="19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19" t="n"/>
      <c r="AD293" s="21" t="n"/>
      <c r="AE293" s="21" t="n"/>
      <c r="AF293" s="21">
        <f>IF($H293="","",IF($T293="To find","Not started",IF(($C293="")+($D293="")+($E293="")+($G293="")+($I293="")+($M293="")+($O293="")+($S293="")&gt;0,"Missing basic details",IF(AND($T293="Downloaded",($R293="")+($U293="")+($V293="")+(($W293="")*(RIGHT(LOWER($U293),4)=".pdf"))&gt;0),"Add file details",IF(AND($T293="Downloaded",LEN($X293)&lt;&gt;64),"Check SHA-256",IF(AND($Q293="",$R293=""),"Add a URL",IF($S293="No","Not official - replace",IF($M293="Not verified","Verify status","OK"))))))))</f>
        <v/>
      </c>
      <c r="AG293" s="21" t="n"/>
      <c r="AH293" s="21" t="n"/>
      <c r="AI293" s="21" t="n"/>
    </row>
    <row r="294" ht="14.25" customHeight="1" s="35">
      <c r="A294" s="21" t="inlineStr">
        <is>
          <t>S-290</t>
        </is>
      </c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19" t="n"/>
      <c r="L294" s="19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21" t="n"/>
      <c r="AC294" s="19" t="n"/>
      <c r="AD294" s="21" t="n"/>
      <c r="AE294" s="21" t="n"/>
      <c r="AF294" s="21">
        <f>IF($H294="","",IF($T294="To find","Not started",IF(($C294="")+($D294="")+($E294="")+($G294="")+($I294="")+($M294="")+($O294="")+($S294="")&gt;0,"Missing basic details",IF(AND($T294="Downloaded",($R294="")+($U294="")+($V294="")+(($W294="")*(RIGHT(LOWER($U294),4)=".pdf"))&gt;0),"Add file details",IF(AND($T294="Downloaded",LEN($X294)&lt;&gt;64),"Check SHA-256",IF(AND($Q294="",$R294=""),"Add a URL",IF($S294="No","Not official - replace",IF($M294="Not verified","Verify status","OK"))))))))</f>
        <v/>
      </c>
      <c r="AG294" s="21" t="n"/>
      <c r="AH294" s="21" t="n"/>
      <c r="AI294" s="21" t="n"/>
    </row>
    <row r="295" ht="14.25" customHeight="1" s="35">
      <c r="A295" s="21" t="inlineStr">
        <is>
          <t>S-291</t>
        </is>
      </c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19" t="n"/>
      <c r="L295" s="19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19" t="n"/>
      <c r="AD295" s="21" t="n"/>
      <c r="AE295" s="21" t="n"/>
      <c r="AF295" s="21">
        <f>IF($H295="","",IF($T295="To find","Not started",IF(($C295="")+($D295="")+($E295="")+($G295="")+($I295="")+($M295="")+($O295="")+($S295="")&gt;0,"Missing basic details",IF(AND($T295="Downloaded",($R295="")+($U295="")+($V295="")+(($W295="")*(RIGHT(LOWER($U295),4)=".pdf"))&gt;0),"Add file details",IF(AND($T295="Downloaded",LEN($X295)&lt;&gt;64),"Check SHA-256",IF(AND($Q295="",$R295=""),"Add a URL",IF($S295="No","Not official - replace",IF($M295="Not verified","Verify status","OK"))))))))</f>
        <v/>
      </c>
      <c r="AG295" s="21" t="n"/>
      <c r="AH295" s="21" t="n"/>
      <c r="AI295" s="21" t="n"/>
    </row>
    <row r="296" ht="14.25" customHeight="1" s="35">
      <c r="A296" s="21" t="inlineStr">
        <is>
          <t>S-292</t>
        </is>
      </c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19" t="n"/>
      <c r="L296" s="19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21" t="n"/>
      <c r="AC296" s="19" t="n"/>
      <c r="AD296" s="21" t="n"/>
      <c r="AE296" s="21" t="n"/>
      <c r="AF296" s="21">
        <f>IF($H296="","",IF($T296="To find","Not started",IF(($C296="")+($D296="")+($E296="")+($G296="")+($I296="")+($M296="")+($O296="")+($S296="")&gt;0,"Missing basic details",IF(AND($T296="Downloaded",($R296="")+($U296="")+($V296="")+(($W296="")*(RIGHT(LOWER($U296),4)=".pdf"))&gt;0),"Add file details",IF(AND($T296="Downloaded",LEN($X296)&lt;&gt;64),"Check SHA-256",IF(AND($Q296="",$R296=""),"Add a URL",IF($S296="No","Not official - replace",IF($M296="Not verified","Verify status","OK"))))))))</f>
        <v/>
      </c>
      <c r="AG296" s="21" t="n"/>
      <c r="AH296" s="21" t="n"/>
      <c r="AI296" s="21" t="n"/>
    </row>
    <row r="297" ht="14.25" customHeight="1" s="35">
      <c r="A297" s="21" t="inlineStr">
        <is>
          <t>S-293</t>
        </is>
      </c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19" t="n"/>
      <c r="L297" s="19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19" t="n"/>
      <c r="AD297" s="21" t="n"/>
      <c r="AE297" s="21" t="n"/>
      <c r="AF297" s="21">
        <f>IF($H297="","",IF($T297="To find","Not started",IF(($C297="")+($D297="")+($E297="")+($G297="")+($I297="")+($M297="")+($O297="")+($S297="")&gt;0,"Missing basic details",IF(AND($T297="Downloaded",($R297="")+($U297="")+($V297="")+(($W297="")*(RIGHT(LOWER($U297),4)=".pdf"))&gt;0),"Add file details",IF(AND($T297="Downloaded",LEN($X297)&lt;&gt;64),"Check SHA-256",IF(AND($Q297="",$R297=""),"Add a URL",IF($S297="No","Not official - replace",IF($M297="Not verified","Verify status","OK"))))))))</f>
        <v/>
      </c>
      <c r="AG297" s="21" t="n"/>
      <c r="AH297" s="21" t="n"/>
      <c r="AI297" s="21" t="n"/>
    </row>
    <row r="298" ht="14.25" customHeight="1" s="35">
      <c r="A298" s="21" t="inlineStr">
        <is>
          <t>S-294</t>
        </is>
      </c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19" t="n"/>
      <c r="L298" s="19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21" t="n"/>
      <c r="AC298" s="19" t="n"/>
      <c r="AD298" s="21" t="n"/>
      <c r="AE298" s="21" t="n"/>
      <c r="AF298" s="21">
        <f>IF($H298="","",IF($T298="To find","Not started",IF(($C298="")+($D298="")+($E298="")+($G298="")+($I298="")+($M298="")+($O298="")+($S298="")&gt;0,"Missing basic details",IF(AND($T298="Downloaded",($R298="")+($U298="")+($V298="")+(($W298="")*(RIGHT(LOWER($U298),4)=".pdf"))&gt;0),"Add file details",IF(AND($T298="Downloaded",LEN($X298)&lt;&gt;64),"Check SHA-256",IF(AND($Q298="",$R298=""),"Add a URL",IF($S298="No","Not official - replace",IF($M298="Not verified","Verify status","OK"))))))))</f>
        <v/>
      </c>
      <c r="AG298" s="21" t="n"/>
      <c r="AH298" s="21" t="n"/>
      <c r="AI298" s="21" t="n"/>
    </row>
    <row r="299" ht="14.25" customHeight="1" s="35">
      <c r="A299" s="21" t="inlineStr">
        <is>
          <t>S-295</t>
        </is>
      </c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19" t="n"/>
      <c r="L299" s="19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19" t="n"/>
      <c r="AD299" s="21" t="n"/>
      <c r="AE299" s="21" t="n"/>
      <c r="AF299" s="21">
        <f>IF($H299="","",IF($T299="To find","Not started",IF(($C299="")+($D299="")+($E299="")+($G299="")+($I299="")+($M299="")+($O299="")+($S299="")&gt;0,"Missing basic details",IF(AND($T299="Downloaded",($R299="")+($U299="")+($V299="")+(($W299="")*(RIGHT(LOWER($U299),4)=".pdf"))&gt;0),"Add file details",IF(AND($T299="Downloaded",LEN($X299)&lt;&gt;64),"Check SHA-256",IF(AND($Q299="",$R299=""),"Add a URL",IF($S299="No","Not official - replace",IF($M299="Not verified","Verify status","OK"))))))))</f>
        <v/>
      </c>
      <c r="AG299" s="21" t="n"/>
      <c r="AH299" s="21" t="n"/>
      <c r="AI299" s="21" t="n"/>
    </row>
    <row r="300" ht="14.25" customHeight="1" s="35">
      <c r="A300" s="21" t="inlineStr">
        <is>
          <t>S-296</t>
        </is>
      </c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19" t="n"/>
      <c r="L300" s="19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21" t="n"/>
      <c r="AC300" s="19" t="n"/>
      <c r="AD300" s="21" t="n"/>
      <c r="AE300" s="21" t="n"/>
      <c r="AF300" s="21">
        <f>IF($H300="","",IF($T300="To find","Not started",IF(($C300="")+($D300="")+($E300="")+($G300="")+($I300="")+($M300="")+($O300="")+($S300="")&gt;0,"Missing basic details",IF(AND($T300="Downloaded",($R300="")+($U300="")+($V300="")+(($W300="")*(RIGHT(LOWER($U300),4)=".pdf"))&gt;0),"Add file details",IF(AND($T300="Downloaded",LEN($X300)&lt;&gt;64),"Check SHA-256",IF(AND($Q300="",$R300=""),"Add a URL",IF($S300="No","Not official - replace",IF($M300="Not verified","Verify status","OK"))))))))</f>
        <v/>
      </c>
      <c r="AG300" s="21" t="n"/>
      <c r="AH300" s="21" t="n"/>
      <c r="AI300" s="21" t="n"/>
    </row>
    <row r="301" ht="14.25" customHeight="1" s="35">
      <c r="A301" s="21" t="inlineStr">
        <is>
          <t>S-297</t>
        </is>
      </c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19" t="n"/>
      <c r="L301" s="19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19" t="n"/>
      <c r="AD301" s="21" t="n"/>
      <c r="AE301" s="21" t="n"/>
      <c r="AF301" s="21">
        <f>IF($H301="","",IF($T301="To find","Not started",IF(($C301="")+($D301="")+($E301="")+($G301="")+($I301="")+($M301="")+($O301="")+($S301="")&gt;0,"Missing basic details",IF(AND($T301="Downloaded",($R301="")+($U301="")+($V301="")+(($W301="")*(RIGHT(LOWER($U301),4)=".pdf"))&gt;0),"Add file details",IF(AND($T301="Downloaded",LEN($X301)&lt;&gt;64),"Check SHA-256",IF(AND($Q301="",$R301=""),"Add a URL",IF($S301="No","Not official - replace",IF($M301="Not verified","Verify status","OK"))))))))</f>
        <v/>
      </c>
      <c r="AG301" s="21" t="n"/>
      <c r="AH301" s="21" t="n"/>
      <c r="AI301" s="21" t="n"/>
    </row>
    <row r="302" ht="14.25" customHeight="1" s="35">
      <c r="A302" s="21" t="inlineStr">
        <is>
          <t>S-298</t>
        </is>
      </c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19" t="n"/>
      <c r="L302" s="19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19" t="n"/>
      <c r="AD302" s="21" t="n"/>
      <c r="AE302" s="21" t="n"/>
      <c r="AF302" s="21">
        <f>IF($H302="","",IF($T302="To find","Not started",IF(($C302="")+($D302="")+($E302="")+($G302="")+($I302="")+($M302="")+($O302="")+($S302="")&gt;0,"Missing basic details",IF(AND($T302="Downloaded",($R302="")+($U302="")+($V302="")+(($W302="")*(RIGHT(LOWER($U302),4)=".pdf"))&gt;0),"Add file details",IF(AND($T302="Downloaded",LEN($X302)&lt;&gt;64),"Check SHA-256",IF(AND($Q302="",$R302=""),"Add a URL",IF($S302="No","Not official - replace",IF($M302="Not verified","Verify status","OK"))))))))</f>
        <v/>
      </c>
      <c r="AG302" s="21" t="n"/>
      <c r="AH302" s="21" t="n"/>
      <c r="AI302" s="21" t="n"/>
    </row>
    <row r="303" ht="14.25" customHeight="1" s="35">
      <c r="A303" s="21" t="inlineStr">
        <is>
          <t>S-299</t>
        </is>
      </c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19" t="n"/>
      <c r="L303" s="19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19" t="n"/>
      <c r="AD303" s="21" t="n"/>
      <c r="AE303" s="21" t="n"/>
      <c r="AF303" s="21">
        <f>IF($H303="","",IF($T303="To find","Not started",IF(($C303="")+($D303="")+($E303="")+($G303="")+($I303="")+($M303="")+($O303="")+($S303="")&gt;0,"Missing basic details",IF(AND($T303="Downloaded",($R303="")+($U303="")+($V303="")+(($W303="")*(RIGHT(LOWER($U303),4)=".pdf"))&gt;0),"Add file details",IF(AND($T303="Downloaded",LEN($X303)&lt;&gt;64),"Check SHA-256",IF(AND($Q303="",$R303=""),"Add a URL",IF($S303="No","Not official - replace",IF($M303="Not verified","Verify status","OK"))))))))</f>
        <v/>
      </c>
      <c r="AG303" s="21" t="n"/>
      <c r="AH303" s="21" t="n"/>
      <c r="AI303" s="21" t="n"/>
    </row>
    <row r="304" ht="14.25" customHeight="1" s="35">
      <c r="A304" s="21" t="inlineStr">
        <is>
          <t>S-300</t>
        </is>
      </c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19" t="n"/>
      <c r="L304" s="19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21" t="n"/>
      <c r="AC304" s="19" t="n"/>
      <c r="AD304" s="21" t="n"/>
      <c r="AE304" s="21" t="n"/>
      <c r="AF304" s="21">
        <f>IF($H304="","",IF($T304="To find","Not started",IF(($C304="")+($D304="")+($E304="")+($G304="")+($I304="")+($M304="")+($O304="")+($S304="")&gt;0,"Missing basic details",IF(AND($T304="Downloaded",($R304="")+($U304="")+($V304="")+(($W304="")*(RIGHT(LOWER($U304),4)=".pdf"))&gt;0),"Add file details",IF(AND($T304="Downloaded",LEN($X304)&lt;&gt;64),"Check SHA-256",IF(AND($Q304="",$R304=""),"Add a URL",IF($S304="No","Not official - replace",IF($M304="Not verified","Verify status","OK"))))))))</f>
        <v/>
      </c>
      <c r="AG304" s="21" t="n"/>
      <c r="AH304" s="21" t="n"/>
      <c r="AI304" s="21" t="n"/>
    </row>
    <row r="305" ht="14.25" customHeight="1" s="35">
      <c r="A305" s="21" t="inlineStr">
        <is>
          <t>S-301</t>
        </is>
      </c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19" t="n"/>
      <c r="L305" s="19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19" t="n"/>
      <c r="AD305" s="21" t="n"/>
      <c r="AE305" s="21" t="n"/>
      <c r="AF305" s="21">
        <f>IF($H305="","",IF($T305="To find","Not started",IF(($C305="")+($D305="")+($E305="")+($G305="")+($I305="")+($M305="")+($O305="")+($S305="")&gt;0,"Missing basic details",IF(AND($T305="Downloaded",($R305="")+($U305="")+($V305="")+(($W305="")*(RIGHT(LOWER($U305),4)=".pdf"))&gt;0),"Add file details",IF(AND($T305="Downloaded",LEN($X305)&lt;&gt;64),"Check SHA-256",IF(AND($Q305="",$R305=""),"Add a URL",IF($S305="No","Not official - replace",IF($M305="Not verified","Verify status","OK"))))))))</f>
        <v/>
      </c>
      <c r="AG305" s="21" t="n"/>
      <c r="AH305" s="21" t="n"/>
      <c r="AI305" s="21" t="n"/>
    </row>
    <row r="306" ht="14.25" customHeight="1" s="35">
      <c r="A306" s="21" t="inlineStr">
        <is>
          <t>S-302</t>
        </is>
      </c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19" t="n"/>
      <c r="L306" s="19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21" t="n"/>
      <c r="AC306" s="19" t="n"/>
      <c r="AD306" s="21" t="n"/>
      <c r="AE306" s="21" t="n"/>
      <c r="AF306" s="21">
        <f>IF($H306="","",IF($T306="To find","Not started",IF(($C306="")+($D306="")+($E306="")+($G306="")+($I306="")+($M306="")+($O306="")+($S306="")&gt;0,"Missing basic details",IF(AND($T306="Downloaded",($R306="")+($U306="")+($V306="")+(($W306="")*(RIGHT(LOWER($U306),4)=".pdf"))&gt;0),"Add file details",IF(AND($T306="Downloaded",LEN($X306)&lt;&gt;64),"Check SHA-256",IF(AND($Q306="",$R306=""),"Add a URL",IF($S306="No","Not official - replace",IF($M306="Not verified","Verify status","OK"))))))))</f>
        <v/>
      </c>
      <c r="AG306" s="21" t="n"/>
      <c r="AH306" s="21" t="n"/>
      <c r="AI306" s="21" t="n"/>
    </row>
    <row r="307" ht="14.25" customHeight="1" s="35">
      <c r="A307" s="21" t="inlineStr">
        <is>
          <t>S-303</t>
        </is>
      </c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19" t="n"/>
      <c r="L307" s="19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19" t="n"/>
      <c r="AD307" s="21" t="n"/>
      <c r="AE307" s="21" t="n"/>
      <c r="AF307" s="21">
        <f>IF($H307="","",IF($T307="To find","Not started",IF(($C307="")+($D307="")+($E307="")+($G307="")+($I307="")+($M307="")+($O307="")+($S307="")&gt;0,"Missing basic details",IF(AND($T307="Downloaded",($R307="")+($U307="")+($V307="")+(($W307="")*(RIGHT(LOWER($U307),4)=".pdf"))&gt;0),"Add file details",IF(AND($T307="Downloaded",LEN($X307)&lt;&gt;64),"Check SHA-256",IF(AND($Q307="",$R307=""),"Add a URL",IF($S307="No","Not official - replace",IF($M307="Not verified","Verify status","OK"))))))))</f>
        <v/>
      </c>
      <c r="AG307" s="21" t="n"/>
      <c r="AH307" s="21" t="n"/>
      <c r="AI307" s="21" t="n"/>
    </row>
    <row r="308" ht="14.25" customHeight="1" s="35">
      <c r="A308" s="21" t="inlineStr">
        <is>
          <t>S-304</t>
        </is>
      </c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19" t="n"/>
      <c r="L308" s="19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21" t="n"/>
      <c r="AC308" s="19" t="n"/>
      <c r="AD308" s="21" t="n"/>
      <c r="AE308" s="21" t="n"/>
      <c r="AF308" s="21">
        <f>IF($H308="","",IF($T308="To find","Not started",IF(($C308="")+($D308="")+($E308="")+($G308="")+($I308="")+($M308="")+($O308="")+($S308="")&gt;0,"Missing basic details",IF(AND($T308="Downloaded",($R308="")+($U308="")+($V308="")+(($W308="")*(RIGHT(LOWER($U308),4)=".pdf"))&gt;0),"Add file details",IF(AND($T308="Downloaded",LEN($X308)&lt;&gt;64),"Check SHA-256",IF(AND($Q308="",$R308=""),"Add a URL",IF($S308="No","Not official - replace",IF($M308="Not verified","Verify status","OK"))))))))</f>
        <v/>
      </c>
      <c r="AG308" s="21" t="n"/>
      <c r="AH308" s="21" t="n"/>
      <c r="AI308" s="21" t="n"/>
    </row>
    <row r="309" ht="14.25" customHeight="1" s="35">
      <c r="A309" s="21" t="inlineStr">
        <is>
          <t>S-305</t>
        </is>
      </c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19" t="n"/>
      <c r="L309" s="19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19" t="n"/>
      <c r="AD309" s="21" t="n"/>
      <c r="AE309" s="21" t="n"/>
      <c r="AF309" s="21">
        <f>IF($H309="","",IF($T309="To find","Not started",IF(($C309="")+($D309="")+($E309="")+($G309="")+($I309="")+($M309="")+($O309="")+($S309="")&gt;0,"Missing basic details",IF(AND($T309="Downloaded",($R309="")+($U309="")+($V309="")+(($W309="")*(RIGHT(LOWER($U309),4)=".pdf"))&gt;0),"Add file details",IF(AND($T309="Downloaded",LEN($X309)&lt;&gt;64),"Check SHA-256",IF(AND($Q309="",$R309=""),"Add a URL",IF($S309="No","Not official - replace",IF($M309="Not verified","Verify status","OK"))))))))</f>
        <v/>
      </c>
      <c r="AG309" s="21" t="n"/>
      <c r="AH309" s="21" t="n"/>
      <c r="AI309" s="21" t="n"/>
    </row>
    <row r="310" ht="14.25" customHeight="1" s="35">
      <c r="A310" s="21" t="inlineStr">
        <is>
          <t>S-306</t>
        </is>
      </c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19" t="n"/>
      <c r="L310" s="19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21" t="n"/>
      <c r="AC310" s="19" t="n"/>
      <c r="AD310" s="21" t="n"/>
      <c r="AE310" s="21" t="n"/>
      <c r="AF310" s="21">
        <f>IF($H310="","",IF($T310="To find","Not started",IF(($C310="")+($D310="")+($E310="")+($G310="")+($I310="")+($M310="")+($O310="")+($S310="")&gt;0,"Missing basic details",IF(AND($T310="Downloaded",($R310="")+($U310="")+($V310="")+(($W310="")*(RIGHT(LOWER($U310),4)=".pdf"))&gt;0),"Add file details",IF(AND($T310="Downloaded",LEN($X310)&lt;&gt;64),"Check SHA-256",IF(AND($Q310="",$R310=""),"Add a URL",IF($S310="No","Not official - replace",IF($M310="Not verified","Verify status","OK"))))))))</f>
        <v/>
      </c>
      <c r="AG310" s="21" t="n"/>
      <c r="AH310" s="21" t="n"/>
      <c r="AI310" s="21" t="n"/>
    </row>
    <row r="311" ht="14.25" customHeight="1" s="35">
      <c r="A311" s="21" t="inlineStr">
        <is>
          <t>S-307</t>
        </is>
      </c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19" t="n"/>
      <c r="L311" s="19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19" t="n"/>
      <c r="AD311" s="21" t="n"/>
      <c r="AE311" s="21" t="n"/>
      <c r="AF311" s="21">
        <f>IF($H311="","",IF($T311="To find","Not started",IF(($C311="")+($D311="")+($E311="")+($G311="")+($I311="")+($M311="")+($O311="")+($S311="")&gt;0,"Missing basic details",IF(AND($T311="Downloaded",($R311="")+($U311="")+($V311="")+(($W311="")*(RIGHT(LOWER($U311),4)=".pdf"))&gt;0),"Add file details",IF(AND($T311="Downloaded",LEN($X311)&lt;&gt;64),"Check SHA-256",IF(AND($Q311="",$R311=""),"Add a URL",IF($S311="No","Not official - replace",IF($M311="Not verified","Verify status","OK"))))))))</f>
        <v/>
      </c>
      <c r="AG311" s="21" t="n"/>
      <c r="AH311" s="21" t="n"/>
      <c r="AI311" s="21" t="n"/>
    </row>
    <row r="312" ht="14.25" customHeight="1" s="35">
      <c r="A312" s="21" t="inlineStr">
        <is>
          <t>S-308</t>
        </is>
      </c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19" t="n"/>
      <c r="L312" s="19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19" t="n"/>
      <c r="AD312" s="21" t="n"/>
      <c r="AE312" s="21" t="n"/>
      <c r="AF312" s="21">
        <f>IF($H312="","",IF($T312="To find","Not started",IF(($C312="")+($D312="")+($E312="")+($G312="")+($I312="")+($M312="")+($O312="")+($S312="")&gt;0,"Missing basic details",IF(AND($T312="Downloaded",($R312="")+($U312="")+($V312="")+(($W312="")*(RIGHT(LOWER($U312),4)=".pdf"))&gt;0),"Add file details",IF(AND($T312="Downloaded",LEN($X312)&lt;&gt;64),"Check SHA-256",IF(AND($Q312="",$R312=""),"Add a URL",IF($S312="No","Not official - replace",IF($M312="Not verified","Verify status","OK"))))))))</f>
        <v/>
      </c>
      <c r="AG312" s="21" t="n"/>
      <c r="AH312" s="21" t="n"/>
      <c r="AI312" s="21" t="n"/>
    </row>
    <row r="313" ht="14.25" customHeight="1" s="35">
      <c r="A313" s="21" t="inlineStr">
        <is>
          <t>S-309</t>
        </is>
      </c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19" t="n"/>
      <c r="L313" s="19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19" t="n"/>
      <c r="AD313" s="21" t="n"/>
      <c r="AE313" s="21" t="n"/>
      <c r="AF313" s="21">
        <f>IF($H313="","",IF($T313="To find","Not started",IF(($C313="")+($D313="")+($E313="")+($G313="")+($I313="")+($M313="")+($O313="")+($S313="")&gt;0,"Missing basic details",IF(AND($T313="Downloaded",($R313="")+($U313="")+($V313="")+(($W313="")*(RIGHT(LOWER($U313),4)=".pdf"))&gt;0),"Add file details",IF(AND($T313="Downloaded",LEN($X313)&lt;&gt;64),"Check SHA-256",IF(AND($Q313="",$R313=""),"Add a URL",IF($S313="No","Not official - replace",IF($M313="Not verified","Verify status","OK"))))))))</f>
        <v/>
      </c>
      <c r="AG313" s="21" t="n"/>
      <c r="AH313" s="21" t="n"/>
      <c r="AI313" s="21" t="n"/>
    </row>
    <row r="314" ht="14.25" customHeight="1" s="35">
      <c r="A314" s="21" t="inlineStr">
        <is>
          <t>S-310</t>
        </is>
      </c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19" t="n"/>
      <c r="L314" s="19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21" t="n"/>
      <c r="AC314" s="19" t="n"/>
      <c r="AD314" s="21" t="n"/>
      <c r="AE314" s="21" t="n"/>
      <c r="AF314" s="21">
        <f>IF($H314="","",IF($T314="To find","Not started",IF(($C314="")+($D314="")+($E314="")+($G314="")+($I314="")+($M314="")+($O314="")+($S314="")&gt;0,"Missing basic details",IF(AND($T314="Downloaded",($R314="")+($U314="")+($V314="")+(($W314="")*(RIGHT(LOWER($U314),4)=".pdf"))&gt;0),"Add file details",IF(AND($T314="Downloaded",LEN($X314)&lt;&gt;64),"Check SHA-256",IF(AND($Q314="",$R314=""),"Add a URL",IF($S314="No","Not official - replace",IF($M314="Not verified","Verify status","OK"))))))))</f>
        <v/>
      </c>
      <c r="AG314" s="21" t="n"/>
      <c r="AH314" s="21" t="n"/>
      <c r="AI314" s="21" t="n"/>
    </row>
    <row r="315" ht="14.25" customHeight="1" s="35">
      <c r="A315" s="21" t="inlineStr">
        <is>
          <t>S-311</t>
        </is>
      </c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19" t="n"/>
      <c r="L315" s="19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19" t="n"/>
      <c r="AD315" s="21" t="n"/>
      <c r="AE315" s="21" t="n"/>
      <c r="AF315" s="21">
        <f>IF($H315="","",IF($T315="To find","Not started",IF(($C315="")+($D315="")+($E315="")+($G315="")+($I315="")+($M315="")+($O315="")+($S315="")&gt;0,"Missing basic details",IF(AND($T315="Downloaded",($R315="")+($U315="")+($V315="")+(($W315="")*(RIGHT(LOWER($U315),4)=".pdf"))&gt;0),"Add file details",IF(AND($T315="Downloaded",LEN($X315)&lt;&gt;64),"Check SHA-256",IF(AND($Q315="",$R315=""),"Add a URL",IF($S315="No","Not official - replace",IF($M315="Not verified","Verify status","OK"))))))))</f>
        <v/>
      </c>
      <c r="AG315" s="21" t="n"/>
      <c r="AH315" s="21" t="n"/>
      <c r="AI315" s="21" t="n"/>
    </row>
    <row r="316" ht="14.25" customHeight="1" s="35">
      <c r="A316" s="21" t="inlineStr">
        <is>
          <t>S-312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19" t="n"/>
      <c r="L316" s="19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21" t="n"/>
      <c r="AC316" s="19" t="n"/>
      <c r="AD316" s="21" t="n"/>
      <c r="AE316" s="21" t="n"/>
      <c r="AF316" s="21">
        <f>IF($H316="","",IF($T316="To find","Not started",IF(($C316="")+($D316="")+($E316="")+($G316="")+($I316="")+($M316="")+($O316="")+($S316="")&gt;0,"Missing basic details",IF(AND($T316="Downloaded",($R316="")+($U316="")+($V316="")+(($W316="")*(RIGHT(LOWER($U316),4)=".pdf"))&gt;0),"Add file details",IF(AND($T316="Downloaded",LEN($X316)&lt;&gt;64),"Check SHA-256",IF(AND($Q316="",$R316=""),"Add a URL",IF($S316="No","Not official - replace",IF($M316="Not verified","Verify status","OK"))))))))</f>
        <v/>
      </c>
      <c r="AG316" s="21" t="n"/>
      <c r="AH316" s="21" t="n"/>
      <c r="AI316" s="21" t="n"/>
    </row>
    <row r="317" ht="14.25" customHeight="1" s="35">
      <c r="A317" s="21" t="inlineStr">
        <is>
          <t>S-313</t>
        </is>
      </c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19" t="n"/>
      <c r="L317" s="19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19" t="n"/>
      <c r="AD317" s="21" t="n"/>
      <c r="AE317" s="21" t="n"/>
      <c r="AF317" s="21">
        <f>IF($H317="","",IF($T317="To find","Not started",IF(($C317="")+($D317="")+($E317="")+($G317="")+($I317="")+($M317="")+($O317="")+($S317="")&gt;0,"Missing basic details",IF(AND($T317="Downloaded",($R317="")+($U317="")+($V317="")+(($W317="")*(RIGHT(LOWER($U317),4)=".pdf"))&gt;0),"Add file details",IF(AND($T317="Downloaded",LEN($X317)&lt;&gt;64),"Check SHA-256",IF(AND($Q317="",$R317=""),"Add a URL",IF($S317="No","Not official - replace",IF($M317="Not verified","Verify status","OK"))))))))</f>
        <v/>
      </c>
      <c r="AG317" s="21" t="n"/>
      <c r="AH317" s="21" t="n"/>
      <c r="AI317" s="21" t="n"/>
    </row>
    <row r="318" ht="14.25" customHeight="1" s="35">
      <c r="A318" s="21" t="inlineStr">
        <is>
          <t>S-314</t>
        </is>
      </c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19" t="n"/>
      <c r="L318" s="19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21" t="n"/>
      <c r="AC318" s="19" t="n"/>
      <c r="AD318" s="21" t="n"/>
      <c r="AE318" s="21" t="n"/>
      <c r="AF318" s="21">
        <f>IF($H318="","",IF($T318="To find","Not started",IF(($C318="")+($D318="")+($E318="")+($G318="")+($I318="")+($M318="")+($O318="")+($S318="")&gt;0,"Missing basic details",IF(AND($T318="Downloaded",($R318="")+($U318="")+($V318="")+(($W318="")*(RIGHT(LOWER($U318),4)=".pdf"))&gt;0),"Add file details",IF(AND($T318="Downloaded",LEN($X318)&lt;&gt;64),"Check SHA-256",IF(AND($Q318="",$R318=""),"Add a URL",IF($S318="No","Not official - replace",IF($M318="Not verified","Verify status","OK"))))))))</f>
        <v/>
      </c>
      <c r="AG318" s="21" t="n"/>
      <c r="AH318" s="21" t="n"/>
      <c r="AI318" s="21" t="n"/>
    </row>
    <row r="319" ht="14.25" customHeight="1" s="35">
      <c r="A319" s="21" t="inlineStr">
        <is>
          <t>S-315</t>
        </is>
      </c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19" t="n"/>
      <c r="L319" s="19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19" t="n"/>
      <c r="AD319" s="21" t="n"/>
      <c r="AE319" s="21" t="n"/>
      <c r="AF319" s="21">
        <f>IF($H319="","",IF($T319="To find","Not started",IF(($C319="")+($D319="")+($E319="")+($G319="")+($I319="")+($M319="")+($O319="")+($S319="")&gt;0,"Missing basic details",IF(AND($T319="Downloaded",($R319="")+($U319="")+($V319="")+(($W319="")*(RIGHT(LOWER($U319),4)=".pdf"))&gt;0),"Add file details",IF(AND($T319="Downloaded",LEN($X319)&lt;&gt;64),"Check SHA-256",IF(AND($Q319="",$R319=""),"Add a URL",IF($S319="No","Not official - replace",IF($M319="Not verified","Verify status","OK"))))))))</f>
        <v/>
      </c>
      <c r="AG319" s="21" t="n"/>
      <c r="AH319" s="21" t="n"/>
      <c r="AI319" s="21" t="n"/>
    </row>
    <row r="320" ht="14.25" customHeight="1" s="35">
      <c r="A320" s="21" t="inlineStr">
        <is>
          <t>S-316</t>
        </is>
      </c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19" t="n"/>
      <c r="L320" s="19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21" t="n"/>
      <c r="AC320" s="19" t="n"/>
      <c r="AD320" s="21" t="n"/>
      <c r="AE320" s="21" t="n"/>
      <c r="AF320" s="21">
        <f>IF($H320="","",IF($T320="To find","Not started",IF(($C320="")+($D320="")+($E320="")+($G320="")+($I320="")+($M320="")+($O320="")+($S320="")&gt;0,"Missing basic details",IF(AND($T320="Downloaded",($R320="")+($U320="")+($V320="")+(($W320="")*(RIGHT(LOWER($U320),4)=".pdf"))&gt;0),"Add file details",IF(AND($T320="Downloaded",LEN($X320)&lt;&gt;64),"Check SHA-256",IF(AND($Q320="",$R320=""),"Add a URL",IF($S320="No","Not official - replace",IF($M320="Not verified","Verify status","OK"))))))))</f>
        <v/>
      </c>
      <c r="AG320" s="21" t="n"/>
      <c r="AH320" s="21" t="n"/>
      <c r="AI320" s="21" t="n"/>
    </row>
    <row r="321" ht="14.25" customHeight="1" s="35">
      <c r="A321" s="21" t="inlineStr">
        <is>
          <t>S-317</t>
        </is>
      </c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19" t="n"/>
      <c r="L321" s="19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19" t="n"/>
      <c r="AD321" s="21" t="n"/>
      <c r="AE321" s="21" t="n"/>
      <c r="AF321" s="21">
        <f>IF($H321="","",IF($T321="To find","Not started",IF(($C321="")+($D321="")+($E321="")+($G321="")+($I321="")+($M321="")+($O321="")+($S321="")&gt;0,"Missing basic details",IF(AND($T321="Downloaded",($R321="")+($U321="")+($V321="")+(($W321="")*(RIGHT(LOWER($U321),4)=".pdf"))&gt;0),"Add file details",IF(AND($T321="Downloaded",LEN($X321)&lt;&gt;64),"Check SHA-256",IF(AND($Q321="",$R321=""),"Add a URL",IF($S321="No","Not official - replace",IF($M321="Not verified","Verify status","OK"))))))))</f>
        <v/>
      </c>
      <c r="AG321" s="21" t="n"/>
      <c r="AH321" s="21" t="n"/>
      <c r="AI321" s="21" t="n"/>
    </row>
    <row r="322" ht="14.25" customHeight="1" s="35">
      <c r="A322" s="21" t="inlineStr">
        <is>
          <t>S-318</t>
        </is>
      </c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19" t="n"/>
      <c r="L322" s="19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19" t="n"/>
      <c r="AD322" s="21" t="n"/>
      <c r="AE322" s="21" t="n"/>
      <c r="AF322" s="21">
        <f>IF($H322="","",IF($T322="To find","Not started",IF(($C322="")+($D322="")+($E322="")+($G322="")+($I322="")+($M322="")+($O322="")+($S322="")&gt;0,"Missing basic details",IF(AND($T322="Downloaded",($R322="")+($U322="")+($V322="")+(($W322="")*(RIGHT(LOWER($U322),4)=".pdf"))&gt;0),"Add file details",IF(AND($T322="Downloaded",LEN($X322)&lt;&gt;64),"Check SHA-256",IF(AND($Q322="",$R322=""),"Add a URL",IF($S322="No","Not official - replace",IF($M322="Not verified","Verify status","OK"))))))))</f>
        <v/>
      </c>
      <c r="AG322" s="21" t="n"/>
      <c r="AH322" s="21" t="n"/>
      <c r="AI322" s="21" t="n"/>
    </row>
    <row r="323" ht="14.25" customHeight="1" s="35">
      <c r="A323" s="21" t="inlineStr">
        <is>
          <t>S-319</t>
        </is>
      </c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19" t="n"/>
      <c r="L323" s="19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19" t="n"/>
      <c r="AD323" s="21" t="n"/>
      <c r="AE323" s="21" t="n"/>
      <c r="AF323" s="21">
        <f>IF($H323="","",IF($T323="To find","Not started",IF(($C323="")+($D323="")+($E323="")+($G323="")+($I323="")+($M323="")+($O323="")+($S323="")&gt;0,"Missing basic details",IF(AND($T323="Downloaded",($R323="")+($U323="")+($V323="")+(($W323="")*(RIGHT(LOWER($U323),4)=".pdf"))&gt;0),"Add file details",IF(AND($T323="Downloaded",LEN($X323)&lt;&gt;64),"Check SHA-256",IF(AND($Q323="",$R323=""),"Add a URL",IF($S323="No","Not official - replace",IF($M323="Not verified","Verify status","OK"))))))))</f>
        <v/>
      </c>
      <c r="AG323" s="21" t="n"/>
      <c r="AH323" s="21" t="n"/>
      <c r="AI323" s="21" t="n"/>
    </row>
    <row r="324" ht="14.25" customHeight="1" s="35">
      <c r="A324" s="21" t="inlineStr">
        <is>
          <t>S-320</t>
        </is>
      </c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19" t="n"/>
      <c r="L324" s="19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21" t="n"/>
      <c r="AC324" s="19" t="n"/>
      <c r="AD324" s="21" t="n"/>
      <c r="AE324" s="21" t="n"/>
      <c r="AF324" s="21">
        <f>IF($H324="","",IF($T324="To find","Not started",IF(($C324="")+($D324="")+($E324="")+($G324="")+($I324="")+($M324="")+($O324="")+($S324="")&gt;0,"Missing basic details",IF(AND($T324="Downloaded",($R324="")+($U324="")+($V324="")+(($W324="")*(RIGHT(LOWER($U324),4)=".pdf"))&gt;0),"Add file details",IF(AND($T324="Downloaded",LEN($X324)&lt;&gt;64),"Check SHA-256",IF(AND($Q324="",$R324=""),"Add a URL",IF($S324="No","Not official - replace",IF($M324="Not verified","Verify status","OK"))))))))</f>
        <v/>
      </c>
      <c r="AG324" s="21" t="n"/>
      <c r="AH324" s="21" t="n"/>
      <c r="AI324" s="21" t="n"/>
    </row>
    <row r="325" ht="14.25" customHeight="1" s="35">
      <c r="A325" s="21" t="inlineStr">
        <is>
          <t>S-321</t>
        </is>
      </c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19" t="n"/>
      <c r="L325" s="19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19" t="n"/>
      <c r="AD325" s="21" t="n"/>
      <c r="AE325" s="21" t="n"/>
      <c r="AF325" s="21">
        <f>IF($H325="","",IF($T325="To find","Not started",IF(($C325="")+($D325="")+($E325="")+($G325="")+($I325="")+($M325="")+($O325="")+($S325="")&gt;0,"Missing basic details",IF(AND($T325="Downloaded",($R325="")+($U325="")+($V325="")+(($W325="")*(RIGHT(LOWER($U325),4)=".pdf"))&gt;0),"Add file details",IF(AND($T325="Downloaded",LEN($X325)&lt;&gt;64),"Check SHA-256",IF(AND($Q325="",$R325=""),"Add a URL",IF($S325="No","Not official - replace",IF($M325="Not verified","Verify status","OK"))))))))</f>
        <v/>
      </c>
      <c r="AG325" s="21" t="n"/>
      <c r="AH325" s="21" t="n"/>
      <c r="AI325" s="21" t="n"/>
    </row>
    <row r="326" ht="14.25" customHeight="1" s="35">
      <c r="A326" s="21" t="inlineStr">
        <is>
          <t>S-322</t>
        </is>
      </c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19" t="n"/>
      <c r="L326" s="19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21" t="n"/>
      <c r="AC326" s="19" t="n"/>
      <c r="AD326" s="21" t="n"/>
      <c r="AE326" s="21" t="n"/>
      <c r="AF326" s="21">
        <f>IF($H326="","",IF($T326="To find","Not started",IF(($C326="")+($D326="")+($E326="")+($G326="")+($I326="")+($M326="")+($O326="")+($S326="")&gt;0,"Missing basic details",IF(AND($T326="Downloaded",($R326="")+($U326="")+($V326="")+(($W326="")*(RIGHT(LOWER($U326),4)=".pdf"))&gt;0),"Add file details",IF(AND($T326="Downloaded",LEN($X326)&lt;&gt;64),"Check SHA-256",IF(AND($Q326="",$R326=""),"Add a URL",IF($S326="No","Not official - replace",IF($M326="Not verified","Verify status","OK"))))))))</f>
        <v/>
      </c>
      <c r="AG326" s="21" t="n"/>
      <c r="AH326" s="21" t="n"/>
      <c r="AI326" s="21" t="n"/>
    </row>
    <row r="327" ht="14.25" customHeight="1" s="35">
      <c r="A327" s="21" t="inlineStr">
        <is>
          <t>S-323</t>
        </is>
      </c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19" t="n"/>
      <c r="L327" s="19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19" t="n"/>
      <c r="AD327" s="21" t="n"/>
      <c r="AE327" s="21" t="n"/>
      <c r="AF327" s="21">
        <f>IF($H327="","",IF($T327="To find","Not started",IF(($C327="")+($D327="")+($E327="")+($G327="")+($I327="")+($M327="")+($O327="")+($S327="")&gt;0,"Missing basic details",IF(AND($T327="Downloaded",($R327="")+($U327="")+($V327="")+(($W327="")*(RIGHT(LOWER($U327),4)=".pdf"))&gt;0),"Add file details",IF(AND($T327="Downloaded",LEN($X327)&lt;&gt;64),"Check SHA-256",IF(AND($Q327="",$R327=""),"Add a URL",IF($S327="No","Not official - replace",IF($M327="Not verified","Verify status","OK"))))))))</f>
        <v/>
      </c>
      <c r="AG327" s="21" t="n"/>
      <c r="AH327" s="21" t="n"/>
      <c r="AI327" s="21" t="n"/>
    </row>
    <row r="328" ht="14.25" customHeight="1" s="35">
      <c r="A328" s="21" t="inlineStr">
        <is>
          <t>S-324</t>
        </is>
      </c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19" t="n"/>
      <c r="L328" s="19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21" t="n"/>
      <c r="AC328" s="19" t="n"/>
      <c r="AD328" s="21" t="n"/>
      <c r="AE328" s="21" t="n"/>
      <c r="AF328" s="21">
        <f>IF($H328="","",IF($T328="To find","Not started",IF(($C328="")+($D328="")+($E328="")+($G328="")+($I328="")+($M328="")+($O328="")+($S328="")&gt;0,"Missing basic details",IF(AND($T328="Downloaded",($R328="")+($U328="")+($V328="")+(($W328="")*(RIGHT(LOWER($U328),4)=".pdf"))&gt;0),"Add file details",IF(AND($T328="Downloaded",LEN($X328)&lt;&gt;64),"Check SHA-256",IF(AND($Q328="",$R328=""),"Add a URL",IF($S328="No","Not official - replace",IF($M328="Not verified","Verify status","OK"))))))))</f>
        <v/>
      </c>
      <c r="AG328" s="21" t="n"/>
      <c r="AH328" s="21" t="n"/>
      <c r="AI328" s="21" t="n"/>
    </row>
    <row r="329" ht="14.25" customHeight="1" s="35">
      <c r="A329" s="21" t="inlineStr">
        <is>
          <t>S-325</t>
        </is>
      </c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19" t="n"/>
      <c r="L329" s="19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19" t="n"/>
      <c r="AD329" s="21" t="n"/>
      <c r="AE329" s="21" t="n"/>
      <c r="AF329" s="21">
        <f>IF($H329="","",IF($T329="To find","Not started",IF(($C329="")+($D329="")+($E329="")+($G329="")+($I329="")+($M329="")+($O329="")+($S329="")&gt;0,"Missing basic details",IF(AND($T329="Downloaded",($R329="")+($U329="")+($V329="")+(($W329="")*(RIGHT(LOWER($U329),4)=".pdf"))&gt;0),"Add file details",IF(AND($T329="Downloaded",LEN($X329)&lt;&gt;64),"Check SHA-256",IF(AND($Q329="",$R329=""),"Add a URL",IF($S329="No","Not official - replace",IF($M329="Not verified","Verify status","OK"))))))))</f>
        <v/>
      </c>
      <c r="AG329" s="21" t="n"/>
      <c r="AH329" s="21" t="n"/>
      <c r="AI329" s="21" t="n"/>
    </row>
    <row r="330" ht="14.25" customHeight="1" s="35">
      <c r="A330" s="21" t="inlineStr">
        <is>
          <t>S-326</t>
        </is>
      </c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19" t="n"/>
      <c r="L330" s="19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21" t="n"/>
      <c r="AC330" s="19" t="n"/>
      <c r="AD330" s="21" t="n"/>
      <c r="AE330" s="21" t="n"/>
      <c r="AF330" s="21">
        <f>IF($H330="","",IF($T330="To find","Not started",IF(($C330="")+($D330="")+($E330="")+($G330="")+($I330="")+($M330="")+($O330="")+($S330="")&gt;0,"Missing basic details",IF(AND($T330="Downloaded",($R330="")+($U330="")+($V330="")+(($W330="")*(RIGHT(LOWER($U330),4)=".pdf"))&gt;0),"Add file details",IF(AND($T330="Downloaded",LEN($X330)&lt;&gt;64),"Check SHA-256",IF(AND($Q330="",$R330=""),"Add a URL",IF($S330="No","Not official - replace",IF($M330="Not verified","Verify status","OK"))))))))</f>
        <v/>
      </c>
      <c r="AG330" s="21" t="n"/>
      <c r="AH330" s="21" t="n"/>
      <c r="AI330" s="21" t="n"/>
    </row>
    <row r="331" ht="14.25" customHeight="1" s="35">
      <c r="A331" s="21" t="inlineStr">
        <is>
          <t>S-327</t>
        </is>
      </c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19" t="n"/>
      <c r="L331" s="19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19" t="n"/>
      <c r="AD331" s="21" t="n"/>
      <c r="AE331" s="21" t="n"/>
      <c r="AF331" s="21">
        <f>IF($H331="","",IF($T331="To find","Not started",IF(($C331="")+($D331="")+($E331="")+($G331="")+($I331="")+($M331="")+($O331="")+($S331="")&gt;0,"Missing basic details",IF(AND($T331="Downloaded",($R331="")+($U331="")+($V331="")+(($W331="")*(RIGHT(LOWER($U331),4)=".pdf"))&gt;0),"Add file details",IF(AND($T331="Downloaded",LEN($X331)&lt;&gt;64),"Check SHA-256",IF(AND($Q331="",$R331=""),"Add a URL",IF($S331="No","Not official - replace",IF($M331="Not verified","Verify status","OK"))))))))</f>
        <v/>
      </c>
      <c r="AG331" s="21" t="n"/>
      <c r="AH331" s="21" t="n"/>
      <c r="AI331" s="21" t="n"/>
    </row>
    <row r="332" ht="14.25" customHeight="1" s="35">
      <c r="A332" s="21" t="inlineStr">
        <is>
          <t>S-328</t>
        </is>
      </c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19" t="n"/>
      <c r="L332" s="19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21" t="n"/>
      <c r="AC332" s="19" t="n"/>
      <c r="AD332" s="21" t="n"/>
      <c r="AE332" s="21" t="n"/>
      <c r="AF332" s="21">
        <f>IF($H332="","",IF($T332="To find","Not started",IF(($C332="")+($D332="")+($E332="")+($G332="")+($I332="")+($M332="")+($O332="")+($S332="")&gt;0,"Missing basic details",IF(AND($T332="Downloaded",($R332="")+($U332="")+($V332="")+(($W332="")*(RIGHT(LOWER($U332),4)=".pdf"))&gt;0),"Add file details",IF(AND($T332="Downloaded",LEN($X332)&lt;&gt;64),"Check SHA-256",IF(AND($Q332="",$R332=""),"Add a URL",IF($S332="No","Not official - replace",IF($M332="Not verified","Verify status","OK"))))))))</f>
        <v/>
      </c>
      <c r="AG332" s="21" t="n"/>
      <c r="AH332" s="21" t="n"/>
      <c r="AI332" s="21" t="n"/>
    </row>
    <row r="333" ht="14.25" customHeight="1" s="35">
      <c r="A333" s="21" t="inlineStr">
        <is>
          <t>S-329</t>
        </is>
      </c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19" t="n"/>
      <c r="L333" s="19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19" t="n"/>
      <c r="AD333" s="21" t="n"/>
      <c r="AE333" s="21" t="n"/>
      <c r="AF333" s="21">
        <f>IF($H333="","",IF($T333="To find","Not started",IF(($C333="")+($D333="")+($E333="")+($G333="")+($I333="")+($M333="")+($O333="")+($S333="")&gt;0,"Missing basic details",IF(AND($T333="Downloaded",($R333="")+($U333="")+($V333="")+(($W333="")*(RIGHT(LOWER($U333),4)=".pdf"))&gt;0),"Add file details",IF(AND($T333="Downloaded",LEN($X333)&lt;&gt;64),"Check SHA-256",IF(AND($Q333="",$R333=""),"Add a URL",IF($S333="No","Not official - replace",IF($M333="Not verified","Verify status","OK"))))))))</f>
        <v/>
      </c>
      <c r="AG333" s="21" t="n"/>
      <c r="AH333" s="21" t="n"/>
      <c r="AI333" s="21" t="n"/>
    </row>
    <row r="334" ht="14.25" customHeight="1" s="35">
      <c r="A334" s="21" t="inlineStr">
        <is>
          <t>S-330</t>
        </is>
      </c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19" t="n"/>
      <c r="L334" s="19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21" t="n"/>
      <c r="AC334" s="19" t="n"/>
      <c r="AD334" s="21" t="n"/>
      <c r="AE334" s="21" t="n"/>
      <c r="AF334" s="21">
        <f>IF($H334="","",IF($T334="To find","Not started",IF(($C334="")+($D334="")+($E334="")+($G334="")+($I334="")+($M334="")+($O334="")+($S334="")&gt;0,"Missing basic details",IF(AND($T334="Downloaded",($R334="")+($U334="")+($V334="")+(($W334="")*(RIGHT(LOWER($U334),4)=".pdf"))&gt;0),"Add file details",IF(AND($T334="Downloaded",LEN($X334)&lt;&gt;64),"Check SHA-256",IF(AND($Q334="",$R334=""),"Add a URL",IF($S334="No","Not official - replace",IF($M334="Not verified","Verify status","OK"))))))))</f>
        <v/>
      </c>
      <c r="AG334" s="21" t="n"/>
      <c r="AH334" s="21" t="n"/>
      <c r="AI334" s="21" t="n"/>
    </row>
    <row r="335" ht="14.25" customHeight="1" s="35">
      <c r="A335" s="21" t="inlineStr">
        <is>
          <t>S-331</t>
        </is>
      </c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19" t="n"/>
      <c r="L335" s="19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19" t="n"/>
      <c r="AD335" s="21" t="n"/>
      <c r="AE335" s="21" t="n"/>
      <c r="AF335" s="21">
        <f>IF($H335="","",IF($T335="To find","Not started",IF(($C335="")+($D335="")+($E335="")+($G335="")+($I335="")+($M335="")+($O335="")+($S335="")&gt;0,"Missing basic details",IF(AND($T335="Downloaded",($R335="")+($U335="")+($V335="")+(($W335="")*(RIGHT(LOWER($U335),4)=".pdf"))&gt;0),"Add file details",IF(AND($T335="Downloaded",LEN($X335)&lt;&gt;64),"Check SHA-256",IF(AND($Q335="",$R335=""),"Add a URL",IF($S335="No","Not official - replace",IF($M335="Not verified","Verify status","OK"))))))))</f>
        <v/>
      </c>
      <c r="AG335" s="21" t="n"/>
      <c r="AH335" s="21" t="n"/>
      <c r="AI335" s="21" t="n"/>
    </row>
    <row r="336" ht="14.25" customHeight="1" s="35">
      <c r="A336" s="21" t="inlineStr">
        <is>
          <t>S-332</t>
        </is>
      </c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19" t="n"/>
      <c r="L336" s="19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21" t="n"/>
      <c r="AC336" s="19" t="n"/>
      <c r="AD336" s="21" t="n"/>
      <c r="AE336" s="21" t="n"/>
      <c r="AF336" s="21">
        <f>IF($H336="","",IF($T336="To find","Not started",IF(($C336="")+($D336="")+($E336="")+($G336="")+($I336="")+($M336="")+($O336="")+($S336="")&gt;0,"Missing basic details",IF(AND($T336="Downloaded",($R336="")+($U336="")+($V336="")+(($W336="")*(RIGHT(LOWER($U336),4)=".pdf"))&gt;0),"Add file details",IF(AND($T336="Downloaded",LEN($X336)&lt;&gt;64),"Check SHA-256",IF(AND($Q336="",$R336=""),"Add a URL",IF($S336="No","Not official - replace",IF($M336="Not verified","Verify status","OK"))))))))</f>
        <v/>
      </c>
      <c r="AG336" s="21" t="n"/>
      <c r="AH336" s="21" t="n"/>
      <c r="AI336" s="21" t="n"/>
    </row>
    <row r="337" ht="14.25" customHeight="1" s="35">
      <c r="A337" s="21" t="inlineStr">
        <is>
          <t>S-333</t>
        </is>
      </c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19" t="n"/>
      <c r="L337" s="19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19" t="n"/>
      <c r="AD337" s="21" t="n"/>
      <c r="AE337" s="21" t="n"/>
      <c r="AF337" s="21">
        <f>IF($H337="","",IF($T337="To find","Not started",IF(($C337="")+($D337="")+($E337="")+($G337="")+($I337="")+($M337="")+($O337="")+($S337="")&gt;0,"Missing basic details",IF(AND($T337="Downloaded",($R337="")+($U337="")+($V337="")+(($W337="")*(RIGHT(LOWER($U337),4)=".pdf"))&gt;0),"Add file details",IF(AND($T337="Downloaded",LEN($X337)&lt;&gt;64),"Check SHA-256",IF(AND($Q337="",$R337=""),"Add a URL",IF($S337="No","Not official - replace",IF($M337="Not verified","Verify status","OK"))))))))</f>
        <v/>
      </c>
      <c r="AG337" s="21" t="n"/>
      <c r="AH337" s="21" t="n"/>
      <c r="AI337" s="21" t="n"/>
    </row>
    <row r="338" ht="14.25" customHeight="1" s="35">
      <c r="A338" s="21" t="inlineStr">
        <is>
          <t>S-334</t>
        </is>
      </c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19" t="n"/>
      <c r="L338" s="19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21" t="n"/>
      <c r="AC338" s="19" t="n"/>
      <c r="AD338" s="21" t="n"/>
      <c r="AE338" s="21" t="n"/>
      <c r="AF338" s="21">
        <f>IF($H338="","",IF($T338="To find","Not started",IF(($C338="")+($D338="")+($E338="")+($G338="")+($I338="")+($M338="")+($O338="")+($S338="")&gt;0,"Missing basic details",IF(AND($T338="Downloaded",($R338="")+($U338="")+($V338="")+(($W338="")*(RIGHT(LOWER($U338),4)=".pdf"))&gt;0),"Add file details",IF(AND($T338="Downloaded",LEN($X338)&lt;&gt;64),"Check SHA-256",IF(AND($Q338="",$R338=""),"Add a URL",IF($S338="No","Not official - replace",IF($M338="Not verified","Verify status","OK"))))))))</f>
        <v/>
      </c>
      <c r="AG338" s="21" t="n"/>
      <c r="AH338" s="21" t="n"/>
      <c r="AI338" s="21" t="n"/>
    </row>
    <row r="339" ht="14.25" customHeight="1" s="35">
      <c r="A339" s="21" t="inlineStr">
        <is>
          <t>S-335</t>
        </is>
      </c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19" t="n"/>
      <c r="L339" s="19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19" t="n"/>
      <c r="AD339" s="21" t="n"/>
      <c r="AE339" s="21" t="n"/>
      <c r="AF339" s="21">
        <f>IF($H339="","",IF($T339="To find","Not started",IF(($C339="")+($D339="")+($E339="")+($G339="")+($I339="")+($M339="")+($O339="")+($S339="")&gt;0,"Missing basic details",IF(AND($T339="Downloaded",($R339="")+($U339="")+($V339="")+(($W339="")*(RIGHT(LOWER($U339),4)=".pdf"))&gt;0),"Add file details",IF(AND($T339="Downloaded",LEN($X339)&lt;&gt;64),"Check SHA-256",IF(AND($Q339="",$R339=""),"Add a URL",IF($S339="No","Not official - replace",IF($M339="Not verified","Verify status","OK"))))))))</f>
        <v/>
      </c>
      <c r="AG339" s="21" t="n"/>
      <c r="AH339" s="21" t="n"/>
      <c r="AI339" s="21" t="n"/>
    </row>
    <row r="340" ht="14.25" customHeight="1" s="35">
      <c r="A340" s="21" t="inlineStr">
        <is>
          <t>S-336</t>
        </is>
      </c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19" t="n"/>
      <c r="L340" s="19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21" t="n"/>
      <c r="AC340" s="19" t="n"/>
      <c r="AD340" s="21" t="n"/>
      <c r="AE340" s="21" t="n"/>
      <c r="AF340" s="21">
        <f>IF($H340="","",IF($T340="To find","Not started",IF(($C340="")+($D340="")+($E340="")+($G340="")+($I340="")+($M340="")+($O340="")+($S340="")&gt;0,"Missing basic details",IF(AND($T340="Downloaded",($R340="")+($U340="")+($V340="")+(($W340="")*(RIGHT(LOWER($U340),4)=".pdf"))&gt;0),"Add file details",IF(AND($T340="Downloaded",LEN($X340)&lt;&gt;64),"Check SHA-256",IF(AND($Q340="",$R340=""),"Add a URL",IF($S340="No","Not official - replace",IF($M340="Not verified","Verify status","OK"))))))))</f>
        <v/>
      </c>
      <c r="AG340" s="21" t="n"/>
      <c r="AH340" s="21" t="n"/>
      <c r="AI340" s="21" t="n"/>
    </row>
    <row r="341" ht="14.25" customHeight="1" s="35">
      <c r="A341" s="21" t="inlineStr">
        <is>
          <t>S-337</t>
        </is>
      </c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19" t="n"/>
      <c r="L341" s="19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19" t="n"/>
      <c r="AD341" s="21" t="n"/>
      <c r="AE341" s="21" t="n"/>
      <c r="AF341" s="21">
        <f>IF($H341="","",IF($T341="To find","Not started",IF(($C341="")+($D341="")+($E341="")+($G341="")+($I341="")+($M341="")+($O341="")+($S341="")&gt;0,"Missing basic details",IF(AND($T341="Downloaded",($R341="")+($U341="")+($V341="")+(($W341="")*(RIGHT(LOWER($U341),4)=".pdf"))&gt;0),"Add file details",IF(AND($T341="Downloaded",LEN($X341)&lt;&gt;64),"Check SHA-256",IF(AND($Q341="",$R341=""),"Add a URL",IF($S341="No","Not official - replace",IF($M341="Not verified","Verify status","OK"))))))))</f>
        <v/>
      </c>
      <c r="AG341" s="21" t="n"/>
      <c r="AH341" s="21" t="n"/>
      <c r="AI341" s="21" t="n"/>
    </row>
    <row r="342" ht="14.25" customHeight="1" s="35">
      <c r="A342" s="21" t="inlineStr">
        <is>
          <t>S-338</t>
        </is>
      </c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19" t="n"/>
      <c r="L342" s="19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19" t="n"/>
      <c r="AD342" s="21" t="n"/>
      <c r="AE342" s="21" t="n"/>
      <c r="AF342" s="21">
        <f>IF($H342="","",IF($T342="To find","Not started",IF(($C342="")+($D342="")+($E342="")+($G342="")+($I342="")+($M342="")+($O342="")+($S342="")&gt;0,"Missing basic details",IF(AND($T342="Downloaded",($R342="")+($U342="")+($V342="")+(($W342="")*(RIGHT(LOWER($U342),4)=".pdf"))&gt;0),"Add file details",IF(AND($T342="Downloaded",LEN($X342)&lt;&gt;64),"Check SHA-256",IF(AND($Q342="",$R342=""),"Add a URL",IF($S342="No","Not official - replace",IF($M342="Not verified","Verify status","OK"))))))))</f>
        <v/>
      </c>
      <c r="AG342" s="21" t="n"/>
      <c r="AH342" s="21" t="n"/>
      <c r="AI342" s="21" t="n"/>
    </row>
    <row r="343" ht="14.25" customHeight="1" s="35">
      <c r="A343" s="21" t="inlineStr">
        <is>
          <t>S-339</t>
        </is>
      </c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19" t="n"/>
      <c r="L343" s="19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19" t="n"/>
      <c r="AD343" s="21" t="n"/>
      <c r="AE343" s="21" t="n"/>
      <c r="AF343" s="21">
        <f>IF($H343="","",IF($T343="To find","Not started",IF(($C343="")+($D343="")+($E343="")+($G343="")+($I343="")+($M343="")+($O343="")+($S343="")&gt;0,"Missing basic details",IF(AND($T343="Downloaded",($R343="")+($U343="")+($V343="")+(($W343="")*(RIGHT(LOWER($U343),4)=".pdf"))&gt;0),"Add file details",IF(AND($T343="Downloaded",LEN($X343)&lt;&gt;64),"Check SHA-256",IF(AND($Q343="",$R343=""),"Add a URL",IF($S343="No","Not official - replace",IF($M343="Not verified","Verify status","OK"))))))))</f>
        <v/>
      </c>
      <c r="AG343" s="21" t="n"/>
      <c r="AH343" s="21" t="n"/>
      <c r="AI343" s="21" t="n"/>
    </row>
    <row r="344" ht="14.25" customHeight="1" s="35">
      <c r="A344" s="21" t="inlineStr">
        <is>
          <t>S-340</t>
        </is>
      </c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19" t="n"/>
      <c r="L344" s="19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21" t="n"/>
      <c r="AC344" s="19" t="n"/>
      <c r="AD344" s="21" t="n"/>
      <c r="AE344" s="21" t="n"/>
      <c r="AF344" s="21">
        <f>IF($H344="","",IF($T344="To find","Not started",IF(($C344="")+($D344="")+($E344="")+($G344="")+($I344="")+($M344="")+($O344="")+($S344="")&gt;0,"Missing basic details",IF(AND($T344="Downloaded",($R344="")+($U344="")+($V344="")+(($W344="")*(RIGHT(LOWER($U344),4)=".pdf"))&gt;0),"Add file details",IF(AND($T344="Downloaded",LEN($X344)&lt;&gt;64),"Check SHA-256",IF(AND($Q344="",$R344=""),"Add a URL",IF($S344="No","Not official - replace",IF($M344="Not verified","Verify status","OK"))))))))</f>
        <v/>
      </c>
      <c r="AG344" s="21" t="n"/>
      <c r="AH344" s="21" t="n"/>
      <c r="AI344" s="21" t="n"/>
    </row>
    <row r="345" ht="14.25" customHeight="1" s="35">
      <c r="A345" s="21" t="inlineStr">
        <is>
          <t>S-341</t>
        </is>
      </c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19" t="n"/>
      <c r="L345" s="19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19" t="n"/>
      <c r="AD345" s="21" t="n"/>
      <c r="AE345" s="21" t="n"/>
      <c r="AF345" s="21">
        <f>IF($H345="","",IF($T345="To find","Not started",IF(($C345="")+($D345="")+($E345="")+($G345="")+($I345="")+($M345="")+($O345="")+($S345="")&gt;0,"Missing basic details",IF(AND($T345="Downloaded",($R345="")+($U345="")+($V345="")+(($W345="")*(RIGHT(LOWER($U345),4)=".pdf"))&gt;0),"Add file details",IF(AND($T345="Downloaded",LEN($X345)&lt;&gt;64),"Check SHA-256",IF(AND($Q345="",$R345=""),"Add a URL",IF($S345="No","Not official - replace",IF($M345="Not verified","Verify status","OK"))))))))</f>
        <v/>
      </c>
      <c r="AG345" s="21" t="n"/>
      <c r="AH345" s="21" t="n"/>
      <c r="AI345" s="21" t="n"/>
    </row>
    <row r="346" ht="14.25" customHeight="1" s="35">
      <c r="A346" s="21" t="inlineStr">
        <is>
          <t>S-342</t>
        </is>
      </c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19" t="n"/>
      <c r="L346" s="19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21" t="n"/>
      <c r="AC346" s="19" t="n"/>
      <c r="AD346" s="21" t="n"/>
      <c r="AE346" s="21" t="n"/>
      <c r="AF346" s="21">
        <f>IF($H346="","",IF($T346="To find","Not started",IF(($C346="")+($D346="")+($E346="")+($G346="")+($I346="")+($M346="")+($O346="")+($S346="")&gt;0,"Missing basic details",IF(AND($T346="Downloaded",($R346="")+($U346="")+($V346="")+(($W346="")*(RIGHT(LOWER($U346),4)=".pdf"))&gt;0),"Add file details",IF(AND($T346="Downloaded",LEN($X346)&lt;&gt;64),"Check SHA-256",IF(AND($Q346="",$R346=""),"Add a URL",IF($S346="No","Not official - replace",IF($M346="Not verified","Verify status","OK"))))))))</f>
        <v/>
      </c>
      <c r="AG346" s="21" t="n"/>
      <c r="AH346" s="21" t="n"/>
      <c r="AI346" s="21" t="n"/>
    </row>
    <row r="347" ht="14.25" customHeight="1" s="35">
      <c r="A347" s="21" t="inlineStr">
        <is>
          <t>S-343</t>
        </is>
      </c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19" t="n"/>
      <c r="L347" s="19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19" t="n"/>
      <c r="AD347" s="21" t="n"/>
      <c r="AE347" s="21" t="n"/>
      <c r="AF347" s="21">
        <f>IF($H347="","",IF($T347="To find","Not started",IF(($C347="")+($D347="")+($E347="")+($G347="")+($I347="")+($M347="")+($O347="")+($S347="")&gt;0,"Missing basic details",IF(AND($T347="Downloaded",($R347="")+($U347="")+($V347="")+(($W347="")*(RIGHT(LOWER($U347),4)=".pdf"))&gt;0),"Add file details",IF(AND($T347="Downloaded",LEN($X347)&lt;&gt;64),"Check SHA-256",IF(AND($Q347="",$R347=""),"Add a URL",IF($S347="No","Not official - replace",IF($M347="Not verified","Verify status","OK"))))))))</f>
        <v/>
      </c>
      <c r="AG347" s="21" t="n"/>
      <c r="AH347" s="21" t="n"/>
      <c r="AI347" s="21" t="n"/>
    </row>
    <row r="348" ht="14.25" customHeight="1" s="35">
      <c r="A348" s="21" t="inlineStr">
        <is>
          <t>S-344</t>
        </is>
      </c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19" t="n"/>
      <c r="L348" s="19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21" t="n"/>
      <c r="AC348" s="19" t="n"/>
      <c r="AD348" s="21" t="n"/>
      <c r="AE348" s="21" t="n"/>
      <c r="AF348" s="21">
        <f>IF($H348="","",IF($T348="To find","Not started",IF(($C348="")+($D348="")+($E348="")+($G348="")+($I348="")+($M348="")+($O348="")+($S348="")&gt;0,"Missing basic details",IF(AND($T348="Downloaded",($R348="")+($U348="")+($V348="")+(($W348="")*(RIGHT(LOWER($U348),4)=".pdf"))&gt;0),"Add file details",IF(AND($T348="Downloaded",LEN($X348)&lt;&gt;64),"Check SHA-256",IF(AND($Q348="",$R348=""),"Add a URL",IF($S348="No","Not official - replace",IF($M348="Not verified","Verify status","OK"))))))))</f>
        <v/>
      </c>
      <c r="AG348" s="21" t="n"/>
      <c r="AH348" s="21" t="n"/>
      <c r="AI348" s="21" t="n"/>
    </row>
    <row r="349" ht="14.25" customHeight="1" s="35">
      <c r="A349" s="21" t="inlineStr">
        <is>
          <t>S-345</t>
        </is>
      </c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19" t="n"/>
      <c r="L349" s="19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19" t="n"/>
      <c r="AD349" s="21" t="n"/>
      <c r="AE349" s="21" t="n"/>
      <c r="AF349" s="21">
        <f>IF($H349="","",IF($T349="To find","Not started",IF(($C349="")+($D349="")+($E349="")+($G349="")+($I349="")+($M349="")+($O349="")+($S349="")&gt;0,"Missing basic details",IF(AND($T349="Downloaded",($R349="")+($U349="")+($V349="")+(($W349="")*(RIGHT(LOWER($U349),4)=".pdf"))&gt;0),"Add file details",IF(AND($T349="Downloaded",LEN($X349)&lt;&gt;64),"Check SHA-256",IF(AND($Q349="",$R349=""),"Add a URL",IF($S349="No","Not official - replace",IF($M349="Not verified","Verify status","OK"))))))))</f>
        <v/>
      </c>
      <c r="AG349" s="21" t="n"/>
      <c r="AH349" s="21" t="n"/>
      <c r="AI349" s="21" t="n"/>
    </row>
    <row r="350" ht="14.25" customHeight="1" s="35">
      <c r="A350" s="21" t="inlineStr">
        <is>
          <t>S-346</t>
        </is>
      </c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19" t="n"/>
      <c r="L350" s="19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21" t="n"/>
      <c r="AC350" s="19" t="n"/>
      <c r="AD350" s="21" t="n"/>
      <c r="AE350" s="21" t="n"/>
      <c r="AF350" s="21">
        <f>IF($H350="","",IF($T350="To find","Not started",IF(($C350="")+($D350="")+($E350="")+($G350="")+($I350="")+($M350="")+($O350="")+($S350="")&gt;0,"Missing basic details",IF(AND($T350="Downloaded",($R350="")+($U350="")+($V350="")+(($W350="")*(RIGHT(LOWER($U350),4)=".pdf"))&gt;0),"Add file details",IF(AND($T350="Downloaded",LEN($X350)&lt;&gt;64),"Check SHA-256",IF(AND($Q350="",$R350=""),"Add a URL",IF($S350="No","Not official - replace",IF($M350="Not verified","Verify status","OK"))))))))</f>
        <v/>
      </c>
      <c r="AG350" s="21" t="n"/>
      <c r="AH350" s="21" t="n"/>
      <c r="AI350" s="21" t="n"/>
    </row>
    <row r="351" ht="14.25" customHeight="1" s="35">
      <c r="A351" s="21" t="inlineStr">
        <is>
          <t>S-347</t>
        </is>
      </c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19" t="n"/>
      <c r="L351" s="19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19" t="n"/>
      <c r="AD351" s="21" t="n"/>
      <c r="AE351" s="21" t="n"/>
      <c r="AF351" s="21">
        <f>IF($H351="","",IF($T351="To find","Not started",IF(($C351="")+($D351="")+($E351="")+($G351="")+($I351="")+($M351="")+($O351="")+($S351="")&gt;0,"Missing basic details",IF(AND($T351="Downloaded",($R351="")+($U351="")+($V351="")+(($W351="")*(RIGHT(LOWER($U351),4)=".pdf"))&gt;0),"Add file details",IF(AND($T351="Downloaded",LEN($X351)&lt;&gt;64),"Check SHA-256",IF(AND($Q351="",$R351=""),"Add a URL",IF($S351="No","Not official - replace",IF($M351="Not verified","Verify status","OK"))))))))</f>
        <v/>
      </c>
      <c r="AG351" s="21" t="n"/>
      <c r="AH351" s="21" t="n"/>
      <c r="AI351" s="21" t="n"/>
    </row>
    <row r="352" ht="14.25" customHeight="1" s="35">
      <c r="A352" s="21" t="inlineStr">
        <is>
          <t>S-348</t>
        </is>
      </c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19" t="n"/>
      <c r="L352" s="19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21" t="n"/>
      <c r="AC352" s="19" t="n"/>
      <c r="AD352" s="21" t="n"/>
      <c r="AE352" s="21" t="n"/>
      <c r="AF352" s="21">
        <f>IF($H352="","",IF($T352="To find","Not started",IF(($C352="")+($D352="")+($E352="")+($G352="")+($I352="")+($M352="")+($O352="")+($S352="")&gt;0,"Missing basic details",IF(AND($T352="Downloaded",($R352="")+($U352="")+($V352="")+(($W352="")*(RIGHT(LOWER($U352),4)=".pdf"))&gt;0),"Add file details",IF(AND($T352="Downloaded",LEN($X352)&lt;&gt;64),"Check SHA-256",IF(AND($Q352="",$R352=""),"Add a URL",IF($S352="No","Not official - replace",IF($M352="Not verified","Verify status","OK"))))))))</f>
        <v/>
      </c>
      <c r="AG352" s="21" t="n"/>
      <c r="AH352" s="21" t="n"/>
      <c r="AI352" s="21" t="n"/>
    </row>
    <row r="353" ht="14.25" customHeight="1" s="35">
      <c r="A353" s="21" t="inlineStr">
        <is>
          <t>S-349</t>
        </is>
      </c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19" t="n"/>
      <c r="L353" s="19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19" t="n"/>
      <c r="AD353" s="21" t="n"/>
      <c r="AE353" s="21" t="n"/>
      <c r="AF353" s="21">
        <f>IF($H353="","",IF($T353="To find","Not started",IF(($C353="")+($D353="")+($E353="")+($G353="")+($I353="")+($M353="")+($O353="")+($S353="")&gt;0,"Missing basic details",IF(AND($T353="Downloaded",($R353="")+($U353="")+($V353="")+(($W353="")*(RIGHT(LOWER($U353),4)=".pdf"))&gt;0),"Add file details",IF(AND($T353="Downloaded",LEN($X353)&lt;&gt;64),"Check SHA-256",IF(AND($Q353="",$R353=""),"Add a URL",IF($S353="No","Not official - replace",IF($M353="Not verified","Verify status","OK"))))))))</f>
        <v/>
      </c>
      <c r="AG353" s="21" t="n"/>
      <c r="AH353" s="21" t="n"/>
      <c r="AI353" s="21" t="n"/>
    </row>
    <row r="354" ht="14.25" customHeight="1" s="35">
      <c r="A354" s="21" t="inlineStr">
        <is>
          <t>S-350</t>
        </is>
      </c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19" t="n"/>
      <c r="L354" s="19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21" t="n"/>
      <c r="AC354" s="19" t="n"/>
      <c r="AD354" s="21" t="n"/>
      <c r="AE354" s="21" t="n"/>
      <c r="AF354" s="21">
        <f>IF($H354="","",IF($T354="To find","Not started",IF(($C354="")+($D354="")+($E354="")+($G354="")+($I354="")+($M354="")+($O354="")+($S354="")&gt;0,"Missing basic details",IF(AND($T354="Downloaded",($R354="")+($U354="")+($V354="")+(($W354="")*(RIGHT(LOWER($U354),4)=".pdf"))&gt;0),"Add file details",IF(AND($T354="Downloaded",LEN($X354)&lt;&gt;64),"Check SHA-256",IF(AND($Q354="",$R354=""),"Add a URL",IF($S354="No","Not official - replace",IF($M354="Not verified","Verify status","OK"))))))))</f>
        <v/>
      </c>
      <c r="AG354" s="21" t="n"/>
      <c r="AH354" s="21" t="n"/>
      <c r="AI354" s="21" t="n"/>
    </row>
    <row r="355" ht="14.25" customHeight="1" s="35">
      <c r="A355" s="21" t="inlineStr">
        <is>
          <t>S-351</t>
        </is>
      </c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19" t="n"/>
      <c r="L355" s="19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19" t="n"/>
      <c r="AD355" s="21" t="n"/>
      <c r="AE355" s="21" t="n"/>
      <c r="AF355" s="21">
        <f>IF($H355="","",IF($T355="To find","Not started",IF(($C355="")+($D355="")+($E355="")+($G355="")+($I355="")+($M355="")+($O355="")+($S355="")&gt;0,"Missing basic details",IF(AND($T355="Downloaded",($R355="")+($U355="")+($V355="")+(($W355="")*(RIGHT(LOWER($U355),4)=".pdf"))&gt;0),"Add file details",IF(AND($T355="Downloaded",LEN($X355)&lt;&gt;64),"Check SHA-256",IF(AND($Q355="",$R355=""),"Add a URL",IF($S355="No","Not official - replace",IF($M355="Not verified","Verify status","OK"))))))))</f>
        <v/>
      </c>
      <c r="AG355" s="21" t="n"/>
      <c r="AH355" s="21" t="n"/>
      <c r="AI355" s="21" t="n"/>
    </row>
    <row r="356" ht="14.25" customHeight="1" s="35">
      <c r="A356" s="21" t="inlineStr">
        <is>
          <t>S-352</t>
        </is>
      </c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19" t="n"/>
      <c r="L356" s="19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21" t="n"/>
      <c r="AC356" s="19" t="n"/>
      <c r="AD356" s="21" t="n"/>
      <c r="AE356" s="21" t="n"/>
      <c r="AF356" s="21">
        <f>IF($H356="","",IF($T356="To find","Not started",IF(($C356="")+($D356="")+($E356="")+($G356="")+($I356="")+($M356="")+($O356="")+($S356="")&gt;0,"Missing basic details",IF(AND($T356="Downloaded",($R356="")+($U356="")+($V356="")+(($W356="")*(RIGHT(LOWER($U356),4)=".pdf"))&gt;0),"Add file details",IF(AND($T356="Downloaded",LEN($X356)&lt;&gt;64),"Check SHA-256",IF(AND($Q356="",$R356=""),"Add a URL",IF($S356="No","Not official - replace",IF($M356="Not verified","Verify status","OK"))))))))</f>
        <v/>
      </c>
      <c r="AG356" s="21" t="n"/>
      <c r="AH356" s="21" t="n"/>
      <c r="AI356" s="21" t="n"/>
    </row>
    <row r="357" ht="14.25" customHeight="1" s="35">
      <c r="A357" s="21" t="inlineStr">
        <is>
          <t>S-353</t>
        </is>
      </c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19" t="n"/>
      <c r="L357" s="19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19" t="n"/>
      <c r="AD357" s="21" t="n"/>
      <c r="AE357" s="21" t="n"/>
      <c r="AF357" s="21">
        <f>IF($H357="","",IF($T357="To find","Not started",IF(($C357="")+($D357="")+($E357="")+($G357="")+($I357="")+($M357="")+($O357="")+($S357="")&gt;0,"Missing basic details",IF(AND($T357="Downloaded",($R357="")+($U357="")+($V357="")+(($W357="")*(RIGHT(LOWER($U357),4)=".pdf"))&gt;0),"Add file details",IF(AND($T357="Downloaded",LEN($X357)&lt;&gt;64),"Check SHA-256",IF(AND($Q357="",$R357=""),"Add a URL",IF($S357="No","Not official - replace",IF($M357="Not verified","Verify status","OK"))))))))</f>
        <v/>
      </c>
      <c r="AG357" s="21" t="n"/>
      <c r="AH357" s="21" t="n"/>
      <c r="AI357" s="21" t="n"/>
    </row>
    <row r="358" ht="14.25" customHeight="1" s="35">
      <c r="A358" s="21" t="inlineStr">
        <is>
          <t>S-354</t>
        </is>
      </c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19" t="n"/>
      <c r="L358" s="19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21" t="n"/>
      <c r="AC358" s="19" t="n"/>
      <c r="AD358" s="21" t="n"/>
      <c r="AE358" s="21" t="n"/>
      <c r="AF358" s="21">
        <f>IF($H358="","",IF($T358="To find","Not started",IF(($C358="")+($D358="")+($E358="")+($G358="")+($I358="")+($M358="")+($O358="")+($S358="")&gt;0,"Missing basic details",IF(AND($T358="Downloaded",($R358="")+($U358="")+($V358="")+(($W358="")*(RIGHT(LOWER($U358),4)=".pdf"))&gt;0),"Add file details",IF(AND($T358="Downloaded",LEN($X358)&lt;&gt;64),"Check SHA-256",IF(AND($Q358="",$R358=""),"Add a URL",IF($S358="No","Not official - replace",IF($M358="Not verified","Verify status","OK"))))))))</f>
        <v/>
      </c>
      <c r="AG358" s="21" t="n"/>
      <c r="AH358" s="21" t="n"/>
      <c r="AI358" s="21" t="n"/>
    </row>
    <row r="359" ht="14.25" customHeight="1" s="35">
      <c r="A359" s="21" t="inlineStr">
        <is>
          <t>S-355</t>
        </is>
      </c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19" t="n"/>
      <c r="L359" s="19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19" t="n"/>
      <c r="AD359" s="21" t="n"/>
      <c r="AE359" s="21" t="n"/>
      <c r="AF359" s="21">
        <f>IF($H359="","",IF($T359="To find","Not started",IF(($C359="")+($D359="")+($E359="")+($G359="")+($I359="")+($M359="")+($O359="")+($S359="")&gt;0,"Missing basic details",IF(AND($T359="Downloaded",($R359="")+($U359="")+($V359="")+(($W359="")*(RIGHT(LOWER($U359),4)=".pdf"))&gt;0),"Add file details",IF(AND($T359="Downloaded",LEN($X359)&lt;&gt;64),"Check SHA-256",IF(AND($Q359="",$R359=""),"Add a URL",IF($S359="No","Not official - replace",IF($M359="Not verified","Verify status","OK"))))))))</f>
        <v/>
      </c>
      <c r="AG359" s="21" t="n"/>
      <c r="AH359" s="21" t="n"/>
      <c r="AI359" s="21" t="n"/>
    </row>
    <row r="360" ht="14.25" customHeight="1" s="35">
      <c r="A360" s="21" t="inlineStr">
        <is>
          <t>S-356</t>
        </is>
      </c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19" t="n"/>
      <c r="L360" s="19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21" t="n"/>
      <c r="AC360" s="19" t="n"/>
      <c r="AD360" s="21" t="n"/>
      <c r="AE360" s="21" t="n"/>
      <c r="AF360" s="21">
        <f>IF($H360="","",IF($T360="To find","Not started",IF(($C360="")+($D360="")+($E360="")+($G360="")+($I360="")+($M360="")+($O360="")+($S360="")&gt;0,"Missing basic details",IF(AND($T360="Downloaded",($R360="")+($U360="")+($V360="")+(($W360="")*(RIGHT(LOWER($U360),4)=".pdf"))&gt;0),"Add file details",IF(AND($T360="Downloaded",LEN($X360)&lt;&gt;64),"Check SHA-256",IF(AND($Q360="",$R360=""),"Add a URL",IF($S360="No","Not official - replace",IF($M360="Not verified","Verify status","OK"))))))))</f>
        <v/>
      </c>
      <c r="AG360" s="21" t="n"/>
      <c r="AH360" s="21" t="n"/>
      <c r="AI360" s="21" t="n"/>
    </row>
    <row r="361" ht="14.25" customHeight="1" s="35">
      <c r="A361" s="21" t="inlineStr">
        <is>
          <t>S-357</t>
        </is>
      </c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19" t="n"/>
      <c r="L361" s="19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19" t="n"/>
      <c r="AD361" s="21" t="n"/>
      <c r="AE361" s="21" t="n"/>
      <c r="AF361" s="21">
        <f>IF($H361="","",IF($T361="To find","Not started",IF(($C361="")+($D361="")+($E361="")+($G361="")+($I361="")+($M361="")+($O361="")+($S361="")&gt;0,"Missing basic details",IF(AND($T361="Downloaded",($R361="")+($U361="")+($V361="")+(($W361="")*(RIGHT(LOWER($U361),4)=".pdf"))&gt;0),"Add file details",IF(AND($T361="Downloaded",LEN($X361)&lt;&gt;64),"Check SHA-256",IF(AND($Q361="",$R361=""),"Add a URL",IF($S361="No","Not official - replace",IF($M361="Not verified","Verify status","OK"))))))))</f>
        <v/>
      </c>
      <c r="AG361" s="21" t="n"/>
      <c r="AH361" s="21" t="n"/>
      <c r="AI361" s="21" t="n"/>
    </row>
    <row r="362" ht="14.25" customHeight="1" s="35">
      <c r="A362" s="21" t="inlineStr">
        <is>
          <t>S-358</t>
        </is>
      </c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19" t="n"/>
      <c r="L362" s="19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19" t="n"/>
      <c r="AD362" s="21" t="n"/>
      <c r="AE362" s="21" t="n"/>
      <c r="AF362" s="21">
        <f>IF($H362="","",IF($T362="To find","Not started",IF(($C362="")+($D362="")+($E362="")+($G362="")+($I362="")+($M362="")+($O362="")+($S362="")&gt;0,"Missing basic details",IF(AND($T362="Downloaded",($R362="")+($U362="")+($V362="")+(($W362="")*(RIGHT(LOWER($U362),4)=".pdf"))&gt;0),"Add file details",IF(AND($T362="Downloaded",LEN($X362)&lt;&gt;64),"Check SHA-256",IF(AND($Q362="",$R362=""),"Add a URL",IF($S362="No","Not official - replace",IF($M362="Not verified","Verify status","OK"))))))))</f>
        <v/>
      </c>
      <c r="AG362" s="21" t="n"/>
      <c r="AH362" s="21" t="n"/>
      <c r="AI362" s="21" t="n"/>
    </row>
    <row r="363" ht="14.25" customHeight="1" s="35">
      <c r="A363" s="21" t="inlineStr">
        <is>
          <t>S-359</t>
        </is>
      </c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19" t="n"/>
      <c r="L363" s="19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19" t="n"/>
      <c r="AD363" s="21" t="n"/>
      <c r="AE363" s="21" t="n"/>
      <c r="AF363" s="21">
        <f>IF($H363="","",IF($T363="To find","Not started",IF(($C363="")+($D363="")+($E363="")+($G363="")+($I363="")+($M363="")+($O363="")+($S363="")&gt;0,"Missing basic details",IF(AND($T363="Downloaded",($R363="")+($U363="")+($V363="")+(($W363="")*(RIGHT(LOWER($U363),4)=".pdf"))&gt;0),"Add file details",IF(AND($T363="Downloaded",LEN($X363)&lt;&gt;64),"Check SHA-256",IF(AND($Q363="",$R363=""),"Add a URL",IF($S363="No","Not official - replace",IF($M363="Not verified","Verify status","OK"))))))))</f>
        <v/>
      </c>
      <c r="AG363" s="21" t="n"/>
      <c r="AH363" s="21" t="n"/>
      <c r="AI363" s="21" t="n"/>
    </row>
    <row r="364" ht="14.25" customHeight="1" s="35">
      <c r="A364" s="21" t="inlineStr">
        <is>
          <t>S-360</t>
        </is>
      </c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19" t="n"/>
      <c r="L364" s="19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21" t="n"/>
      <c r="AC364" s="19" t="n"/>
      <c r="AD364" s="21" t="n"/>
      <c r="AE364" s="21" t="n"/>
      <c r="AF364" s="21">
        <f>IF($H364="","",IF($T364="To find","Not started",IF(($C364="")+($D364="")+($E364="")+($G364="")+($I364="")+($M364="")+($O364="")+($S364="")&gt;0,"Missing basic details",IF(AND($T364="Downloaded",($R364="")+($U364="")+($V364="")+(($W364="")*(RIGHT(LOWER($U364),4)=".pdf"))&gt;0),"Add file details",IF(AND($T364="Downloaded",LEN($X364)&lt;&gt;64),"Check SHA-256",IF(AND($Q364="",$R364=""),"Add a URL",IF($S364="No","Not official - replace",IF($M364="Not verified","Verify status","OK"))))))))</f>
        <v/>
      </c>
      <c r="AG364" s="21" t="n"/>
      <c r="AH364" s="21" t="n"/>
      <c r="AI364" s="21" t="n"/>
    </row>
    <row r="365" ht="14.25" customHeight="1" s="35">
      <c r="A365" s="21" t="inlineStr">
        <is>
          <t>S-361</t>
        </is>
      </c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19" t="n"/>
      <c r="L365" s="19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19" t="n"/>
      <c r="AD365" s="21" t="n"/>
      <c r="AE365" s="21" t="n"/>
      <c r="AF365" s="21">
        <f>IF($H365="","",IF($T365="To find","Not started",IF(($C365="")+($D365="")+($E365="")+($G365="")+($I365="")+($M365="")+($O365="")+($S365="")&gt;0,"Missing basic details",IF(AND($T365="Downloaded",($R365="")+($U365="")+($V365="")+(($W365="")*(RIGHT(LOWER($U365),4)=".pdf"))&gt;0),"Add file details",IF(AND($T365="Downloaded",LEN($X365)&lt;&gt;64),"Check SHA-256",IF(AND($Q365="",$R365=""),"Add a URL",IF($S365="No","Not official - replace",IF($M365="Not verified","Verify status","OK"))))))))</f>
        <v/>
      </c>
      <c r="AG365" s="21" t="n"/>
      <c r="AH365" s="21" t="n"/>
      <c r="AI365" s="21" t="n"/>
    </row>
    <row r="366" ht="14.25" customHeight="1" s="35">
      <c r="A366" s="21" t="inlineStr">
        <is>
          <t>S-362</t>
        </is>
      </c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19" t="n"/>
      <c r="L366" s="19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21" t="n"/>
      <c r="AC366" s="19" t="n"/>
      <c r="AD366" s="21" t="n"/>
      <c r="AE366" s="21" t="n"/>
      <c r="AF366" s="21">
        <f>IF($H366="","",IF($T366="To find","Not started",IF(($C366="")+($D366="")+($E366="")+($G366="")+($I366="")+($M366="")+($O366="")+($S366="")&gt;0,"Missing basic details",IF(AND($T366="Downloaded",($R366="")+($U366="")+($V366="")+(($W366="")*(RIGHT(LOWER($U366),4)=".pdf"))&gt;0),"Add file details",IF(AND($T366="Downloaded",LEN($X366)&lt;&gt;64),"Check SHA-256",IF(AND($Q366="",$R366=""),"Add a URL",IF($S366="No","Not official - replace",IF($M366="Not verified","Verify status","OK"))))))))</f>
        <v/>
      </c>
      <c r="AG366" s="21" t="n"/>
      <c r="AH366" s="21" t="n"/>
      <c r="AI366" s="21" t="n"/>
    </row>
    <row r="367" ht="14.25" customHeight="1" s="35">
      <c r="A367" s="21" t="inlineStr">
        <is>
          <t>S-363</t>
        </is>
      </c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19" t="n"/>
      <c r="L367" s="19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19" t="n"/>
      <c r="AD367" s="21" t="n"/>
      <c r="AE367" s="21" t="n"/>
      <c r="AF367" s="21">
        <f>IF($H367="","",IF($T367="To find","Not started",IF(($C367="")+($D367="")+($E367="")+($G367="")+($I367="")+($M367="")+($O367="")+($S367="")&gt;0,"Missing basic details",IF(AND($T367="Downloaded",($R367="")+($U367="")+($V367="")+(($W367="")*(RIGHT(LOWER($U367),4)=".pdf"))&gt;0),"Add file details",IF(AND($T367="Downloaded",LEN($X367)&lt;&gt;64),"Check SHA-256",IF(AND($Q367="",$R367=""),"Add a URL",IF($S367="No","Not official - replace",IF($M367="Not verified","Verify status","OK"))))))))</f>
        <v/>
      </c>
      <c r="AG367" s="21" t="n"/>
      <c r="AH367" s="21" t="n"/>
      <c r="AI367" s="21" t="n"/>
    </row>
    <row r="368" ht="14.25" customHeight="1" s="35">
      <c r="A368" s="21" t="inlineStr">
        <is>
          <t>S-364</t>
        </is>
      </c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19" t="n"/>
      <c r="L368" s="19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21" t="n"/>
      <c r="AC368" s="19" t="n"/>
      <c r="AD368" s="21" t="n"/>
      <c r="AE368" s="21" t="n"/>
      <c r="AF368" s="21">
        <f>IF($H368="","",IF($T368="To find","Not started",IF(($C368="")+($D368="")+($E368="")+($G368="")+($I368="")+($M368="")+($O368="")+($S368="")&gt;0,"Missing basic details",IF(AND($T368="Downloaded",($R368="")+($U368="")+($V368="")+(($W368="")*(RIGHT(LOWER($U368),4)=".pdf"))&gt;0),"Add file details",IF(AND($T368="Downloaded",LEN($X368)&lt;&gt;64),"Check SHA-256",IF(AND($Q368="",$R368=""),"Add a URL",IF($S368="No","Not official - replace",IF($M368="Not verified","Verify status","OK"))))))))</f>
        <v/>
      </c>
      <c r="AG368" s="21" t="n"/>
      <c r="AH368" s="21" t="n"/>
      <c r="AI368" s="21" t="n"/>
    </row>
    <row r="369" ht="14.25" customHeight="1" s="35">
      <c r="A369" s="21" t="inlineStr">
        <is>
          <t>S-365</t>
        </is>
      </c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19" t="n"/>
      <c r="L369" s="19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19" t="n"/>
      <c r="AD369" s="21" t="n"/>
      <c r="AE369" s="21" t="n"/>
      <c r="AF369" s="21">
        <f>IF($H369="","",IF($T369="To find","Not started",IF(($C369="")+($D369="")+($E369="")+($G369="")+($I369="")+($M369="")+($O369="")+($S369="")&gt;0,"Missing basic details",IF(AND($T369="Downloaded",($R369="")+($U369="")+($V369="")+(($W369="")*(RIGHT(LOWER($U369),4)=".pdf"))&gt;0),"Add file details",IF(AND($T369="Downloaded",LEN($X369)&lt;&gt;64),"Check SHA-256",IF(AND($Q369="",$R369=""),"Add a URL",IF($S369="No","Not official - replace",IF($M369="Not verified","Verify status","OK"))))))))</f>
        <v/>
      </c>
      <c r="AG369" s="21" t="n"/>
      <c r="AH369" s="21" t="n"/>
      <c r="AI369" s="21" t="n"/>
    </row>
    <row r="370" ht="14.25" customHeight="1" s="35">
      <c r="A370" s="21" t="inlineStr">
        <is>
          <t>S-366</t>
        </is>
      </c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19" t="n"/>
      <c r="L370" s="19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21" t="n"/>
      <c r="AC370" s="19" t="n"/>
      <c r="AD370" s="21" t="n"/>
      <c r="AE370" s="21" t="n"/>
      <c r="AF370" s="21">
        <f>IF($H370="","",IF($T370="To find","Not started",IF(($C370="")+($D370="")+($E370="")+($G370="")+($I370="")+($M370="")+($O370="")+($S370="")&gt;0,"Missing basic details",IF(AND($T370="Downloaded",($R370="")+($U370="")+($V370="")+(($W370="")*(RIGHT(LOWER($U370),4)=".pdf"))&gt;0),"Add file details",IF(AND($T370="Downloaded",LEN($X370)&lt;&gt;64),"Check SHA-256",IF(AND($Q370="",$R370=""),"Add a URL",IF($S370="No","Not official - replace",IF($M370="Not verified","Verify status","OK"))))))))</f>
        <v/>
      </c>
      <c r="AG370" s="21" t="n"/>
      <c r="AH370" s="21" t="n"/>
      <c r="AI370" s="21" t="n"/>
    </row>
    <row r="371" ht="14.25" customHeight="1" s="35">
      <c r="A371" s="21" t="inlineStr">
        <is>
          <t>S-367</t>
        </is>
      </c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19" t="n"/>
      <c r="L371" s="19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19" t="n"/>
      <c r="AD371" s="21" t="n"/>
      <c r="AE371" s="21" t="n"/>
      <c r="AF371" s="21">
        <f>IF($H371="","",IF($T371="To find","Not started",IF(($C371="")+($D371="")+($E371="")+($G371="")+($I371="")+($M371="")+($O371="")+($S371="")&gt;0,"Missing basic details",IF(AND($T371="Downloaded",($R371="")+($U371="")+($V371="")+(($W371="")*(RIGHT(LOWER($U371),4)=".pdf"))&gt;0),"Add file details",IF(AND($T371="Downloaded",LEN($X371)&lt;&gt;64),"Check SHA-256",IF(AND($Q371="",$R371=""),"Add a URL",IF($S371="No","Not official - replace",IF($M371="Not verified","Verify status","OK"))))))))</f>
        <v/>
      </c>
      <c r="AG371" s="21" t="n"/>
      <c r="AH371" s="21" t="n"/>
      <c r="AI371" s="21" t="n"/>
    </row>
    <row r="372" ht="14.25" customHeight="1" s="35">
      <c r="A372" s="21" t="inlineStr">
        <is>
          <t>S-368</t>
        </is>
      </c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19" t="n"/>
      <c r="L372" s="19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19" t="n"/>
      <c r="AD372" s="21" t="n"/>
      <c r="AE372" s="21" t="n"/>
      <c r="AF372" s="21">
        <f>IF($H372="","",IF($T372="To find","Not started",IF(($C372="")+($D372="")+($E372="")+($G372="")+($I372="")+($M372="")+($O372="")+($S372="")&gt;0,"Missing basic details",IF(AND($T372="Downloaded",($R372="")+($U372="")+($V372="")+(($W372="")*(RIGHT(LOWER($U372),4)=".pdf"))&gt;0),"Add file details",IF(AND($T372="Downloaded",LEN($X372)&lt;&gt;64),"Check SHA-256",IF(AND($Q372="",$R372=""),"Add a URL",IF($S372="No","Not official - replace",IF($M372="Not verified","Verify status","OK"))))))))</f>
        <v/>
      </c>
      <c r="AG372" s="21" t="n"/>
      <c r="AH372" s="21" t="n"/>
      <c r="AI372" s="21" t="n"/>
    </row>
    <row r="373" ht="14.25" customHeight="1" s="35">
      <c r="A373" s="21" t="inlineStr">
        <is>
          <t>S-369</t>
        </is>
      </c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19" t="n"/>
      <c r="L373" s="19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19" t="n"/>
      <c r="AD373" s="21" t="n"/>
      <c r="AE373" s="21" t="n"/>
      <c r="AF373" s="21">
        <f>IF($H373="","",IF($T373="To find","Not started",IF(($C373="")+($D373="")+($E373="")+($G373="")+($I373="")+($M373="")+($O373="")+($S373="")&gt;0,"Missing basic details",IF(AND($T373="Downloaded",($R373="")+($U373="")+($V373="")+(($W373="")*(RIGHT(LOWER($U373),4)=".pdf"))&gt;0),"Add file details",IF(AND($T373="Downloaded",LEN($X373)&lt;&gt;64),"Check SHA-256",IF(AND($Q373="",$R373=""),"Add a URL",IF($S373="No","Not official - replace",IF($M373="Not verified","Verify status","OK"))))))))</f>
        <v/>
      </c>
      <c r="AG373" s="21" t="n"/>
      <c r="AH373" s="21" t="n"/>
      <c r="AI373" s="21" t="n"/>
    </row>
    <row r="374" ht="14.25" customHeight="1" s="35">
      <c r="A374" s="21" t="inlineStr">
        <is>
          <t>S-370</t>
        </is>
      </c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19" t="n"/>
      <c r="L374" s="19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21" t="n"/>
      <c r="AC374" s="19" t="n"/>
      <c r="AD374" s="21" t="n"/>
      <c r="AE374" s="21" t="n"/>
      <c r="AF374" s="21">
        <f>IF($H374="","",IF($T374="To find","Not started",IF(($C374="")+($D374="")+($E374="")+($G374="")+($I374="")+($M374="")+($O374="")+($S374="")&gt;0,"Missing basic details",IF(AND($T374="Downloaded",($R374="")+($U374="")+($V374="")+(($W374="")*(RIGHT(LOWER($U374),4)=".pdf"))&gt;0),"Add file details",IF(AND($T374="Downloaded",LEN($X374)&lt;&gt;64),"Check SHA-256",IF(AND($Q374="",$R374=""),"Add a URL",IF($S374="No","Not official - replace",IF($M374="Not verified","Verify status","OK"))))))))</f>
        <v/>
      </c>
      <c r="AG374" s="21" t="n"/>
      <c r="AH374" s="21" t="n"/>
      <c r="AI374" s="21" t="n"/>
    </row>
    <row r="375" ht="14.25" customHeight="1" s="35">
      <c r="A375" s="21" t="inlineStr">
        <is>
          <t>S-371</t>
        </is>
      </c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19" t="n"/>
      <c r="L375" s="19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19" t="n"/>
      <c r="AD375" s="21" t="n"/>
      <c r="AE375" s="21" t="n"/>
      <c r="AF375" s="21">
        <f>IF($H375="","",IF($T375="To find","Not started",IF(($C375="")+($D375="")+($E375="")+($G375="")+($I375="")+($M375="")+($O375="")+($S375="")&gt;0,"Missing basic details",IF(AND($T375="Downloaded",($R375="")+($U375="")+($V375="")+(($W375="")*(RIGHT(LOWER($U375),4)=".pdf"))&gt;0),"Add file details",IF(AND($T375="Downloaded",LEN($X375)&lt;&gt;64),"Check SHA-256",IF(AND($Q375="",$R375=""),"Add a URL",IF($S375="No","Not official - replace",IF($M375="Not verified","Verify status","OK"))))))))</f>
        <v/>
      </c>
      <c r="AG375" s="21" t="n"/>
      <c r="AH375" s="21" t="n"/>
      <c r="AI375" s="21" t="n"/>
    </row>
    <row r="376" ht="14.25" customHeight="1" s="35">
      <c r="A376" s="21" t="inlineStr">
        <is>
          <t>S-372</t>
        </is>
      </c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19" t="n"/>
      <c r="L376" s="19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21" t="n"/>
      <c r="AC376" s="19" t="n"/>
      <c r="AD376" s="21" t="n"/>
      <c r="AE376" s="21" t="n"/>
      <c r="AF376" s="21">
        <f>IF($H376="","",IF($T376="To find","Not started",IF(($C376="")+($D376="")+($E376="")+($G376="")+($I376="")+($M376="")+($O376="")+($S376="")&gt;0,"Missing basic details",IF(AND($T376="Downloaded",($R376="")+($U376="")+($V376="")+(($W376="")*(RIGHT(LOWER($U376),4)=".pdf"))&gt;0),"Add file details",IF(AND($T376="Downloaded",LEN($X376)&lt;&gt;64),"Check SHA-256",IF(AND($Q376="",$R376=""),"Add a URL",IF($S376="No","Not official - replace",IF($M376="Not verified","Verify status","OK"))))))))</f>
        <v/>
      </c>
      <c r="AG376" s="21" t="n"/>
      <c r="AH376" s="21" t="n"/>
      <c r="AI376" s="21" t="n"/>
    </row>
    <row r="377" ht="14.25" customHeight="1" s="35">
      <c r="A377" s="21" t="inlineStr">
        <is>
          <t>S-373</t>
        </is>
      </c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19" t="n"/>
      <c r="L377" s="19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19" t="n"/>
      <c r="AD377" s="21" t="n"/>
      <c r="AE377" s="21" t="n"/>
      <c r="AF377" s="21">
        <f>IF($H377="","",IF($T377="To find","Not started",IF(($C377="")+($D377="")+($E377="")+($G377="")+($I377="")+($M377="")+($O377="")+($S377="")&gt;0,"Missing basic details",IF(AND($T377="Downloaded",($R377="")+($U377="")+($V377="")+(($W377="")*(RIGHT(LOWER($U377),4)=".pdf"))&gt;0),"Add file details",IF(AND($T377="Downloaded",LEN($X377)&lt;&gt;64),"Check SHA-256",IF(AND($Q377="",$R377=""),"Add a URL",IF($S377="No","Not official - replace",IF($M377="Not verified","Verify status","OK"))))))))</f>
        <v/>
      </c>
      <c r="AG377" s="21" t="n"/>
      <c r="AH377" s="21" t="n"/>
      <c r="AI377" s="21" t="n"/>
    </row>
    <row r="378" ht="14.25" customHeight="1" s="35">
      <c r="A378" s="21" t="inlineStr">
        <is>
          <t>S-374</t>
        </is>
      </c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19" t="n"/>
      <c r="L378" s="19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21" t="n"/>
      <c r="AC378" s="19" t="n"/>
      <c r="AD378" s="21" t="n"/>
      <c r="AE378" s="21" t="n"/>
      <c r="AF378" s="21">
        <f>IF($H378="","",IF($T378="To find","Not started",IF(($C378="")+($D378="")+($E378="")+($G378="")+($I378="")+($M378="")+($O378="")+($S378="")&gt;0,"Missing basic details",IF(AND($T378="Downloaded",($R378="")+($U378="")+($V378="")+(($W378="")*(RIGHT(LOWER($U378),4)=".pdf"))&gt;0),"Add file details",IF(AND($T378="Downloaded",LEN($X378)&lt;&gt;64),"Check SHA-256",IF(AND($Q378="",$R378=""),"Add a URL",IF($S378="No","Not official - replace",IF($M378="Not verified","Verify status","OK"))))))))</f>
        <v/>
      </c>
      <c r="AG378" s="21" t="n"/>
      <c r="AH378" s="21" t="n"/>
      <c r="AI378" s="21" t="n"/>
    </row>
    <row r="379" ht="14.25" customHeight="1" s="35">
      <c r="A379" s="21" t="inlineStr">
        <is>
          <t>S-375</t>
        </is>
      </c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19" t="n"/>
      <c r="L379" s="19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19" t="n"/>
      <c r="AD379" s="21" t="n"/>
      <c r="AE379" s="21" t="n"/>
      <c r="AF379" s="21">
        <f>IF($H379="","",IF($T379="To find","Not started",IF(($C379="")+($D379="")+($E379="")+($G379="")+($I379="")+($M379="")+($O379="")+($S379="")&gt;0,"Missing basic details",IF(AND($T379="Downloaded",($R379="")+($U379="")+($V379="")+(($W379="")*(RIGHT(LOWER($U379),4)=".pdf"))&gt;0),"Add file details",IF(AND($T379="Downloaded",LEN($X379)&lt;&gt;64),"Check SHA-256",IF(AND($Q379="",$R379=""),"Add a URL",IF($S379="No","Not official - replace",IF($M379="Not verified","Verify status","OK"))))))))</f>
        <v/>
      </c>
      <c r="AG379" s="21" t="n"/>
      <c r="AH379" s="21" t="n"/>
      <c r="AI379" s="21" t="n"/>
    </row>
    <row r="380" ht="14.25" customHeight="1" s="35">
      <c r="A380" s="21" t="inlineStr">
        <is>
          <t>S-376</t>
        </is>
      </c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19" t="n"/>
      <c r="L380" s="19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21" t="n"/>
      <c r="AC380" s="19" t="n"/>
      <c r="AD380" s="21" t="n"/>
      <c r="AE380" s="21" t="n"/>
      <c r="AF380" s="21">
        <f>IF($H380="","",IF($T380="To find","Not started",IF(($C380="")+($D380="")+($E380="")+($G380="")+($I380="")+($M380="")+($O380="")+($S380="")&gt;0,"Missing basic details",IF(AND($T380="Downloaded",($R380="")+($U380="")+($V380="")+(($W380="")*(RIGHT(LOWER($U380),4)=".pdf"))&gt;0),"Add file details",IF(AND($T380="Downloaded",LEN($X380)&lt;&gt;64),"Check SHA-256",IF(AND($Q380="",$R380=""),"Add a URL",IF($S380="No","Not official - replace",IF($M380="Not verified","Verify status","OK"))))))))</f>
        <v/>
      </c>
      <c r="AG380" s="21" t="n"/>
      <c r="AH380" s="21" t="n"/>
      <c r="AI380" s="21" t="n"/>
    </row>
    <row r="381" ht="14.25" customHeight="1" s="35">
      <c r="A381" s="21" t="inlineStr">
        <is>
          <t>S-377</t>
        </is>
      </c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19" t="n"/>
      <c r="L381" s="19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19" t="n"/>
      <c r="AD381" s="21" t="n"/>
      <c r="AE381" s="21" t="n"/>
      <c r="AF381" s="21">
        <f>IF($H381="","",IF($T381="To find","Not started",IF(($C381="")+($D381="")+($E381="")+($G381="")+($I381="")+($M381="")+($O381="")+($S381="")&gt;0,"Missing basic details",IF(AND($T381="Downloaded",($R381="")+($U381="")+($V381="")+(($W381="")*(RIGHT(LOWER($U381),4)=".pdf"))&gt;0),"Add file details",IF(AND($T381="Downloaded",LEN($X381)&lt;&gt;64),"Check SHA-256",IF(AND($Q381="",$R381=""),"Add a URL",IF($S381="No","Not official - replace",IF($M381="Not verified","Verify status","OK"))))))))</f>
        <v/>
      </c>
      <c r="AG381" s="21" t="n"/>
      <c r="AH381" s="21" t="n"/>
      <c r="AI381" s="21" t="n"/>
    </row>
    <row r="382" ht="14.25" customHeight="1" s="35">
      <c r="A382" s="21" t="inlineStr">
        <is>
          <t>S-378</t>
        </is>
      </c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19" t="n"/>
      <c r="L382" s="19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19" t="n"/>
      <c r="AD382" s="21" t="n"/>
      <c r="AE382" s="21" t="n"/>
      <c r="AF382" s="21">
        <f>IF($H382="","",IF($T382="To find","Not started",IF(($C382="")+($D382="")+($E382="")+($G382="")+($I382="")+($M382="")+($O382="")+($S382="")&gt;0,"Missing basic details",IF(AND($T382="Downloaded",($R382="")+($U382="")+($V382="")+(($W382="")*(RIGHT(LOWER($U382),4)=".pdf"))&gt;0),"Add file details",IF(AND($T382="Downloaded",LEN($X382)&lt;&gt;64),"Check SHA-256",IF(AND($Q382="",$R382=""),"Add a URL",IF($S382="No","Not official - replace",IF($M382="Not verified","Verify status","OK"))))))))</f>
        <v/>
      </c>
      <c r="AG382" s="21" t="n"/>
      <c r="AH382" s="21" t="n"/>
      <c r="AI382" s="21" t="n"/>
    </row>
    <row r="383" ht="14.25" customHeight="1" s="35">
      <c r="A383" s="21" t="inlineStr">
        <is>
          <t>S-379</t>
        </is>
      </c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19" t="n"/>
      <c r="L383" s="19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19" t="n"/>
      <c r="AD383" s="21" t="n"/>
      <c r="AE383" s="21" t="n"/>
      <c r="AF383" s="21">
        <f>IF($H383="","",IF($T383="To find","Not started",IF(($C383="")+($D383="")+($E383="")+($G383="")+($I383="")+($M383="")+($O383="")+($S383="")&gt;0,"Missing basic details",IF(AND($T383="Downloaded",($R383="")+($U383="")+($V383="")+(($W383="")*(RIGHT(LOWER($U383),4)=".pdf"))&gt;0),"Add file details",IF(AND($T383="Downloaded",LEN($X383)&lt;&gt;64),"Check SHA-256",IF(AND($Q383="",$R383=""),"Add a URL",IF($S383="No","Not official - replace",IF($M383="Not verified","Verify status","OK"))))))))</f>
        <v/>
      </c>
      <c r="AG383" s="21" t="n"/>
      <c r="AH383" s="21" t="n"/>
      <c r="AI383" s="21" t="n"/>
    </row>
    <row r="384" ht="14.25" customHeight="1" s="35">
      <c r="A384" s="21" t="inlineStr">
        <is>
          <t>S-380</t>
        </is>
      </c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19" t="n"/>
      <c r="L384" s="19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21" t="n"/>
      <c r="AC384" s="19" t="n"/>
      <c r="AD384" s="21" t="n"/>
      <c r="AE384" s="21" t="n"/>
      <c r="AF384" s="21">
        <f>IF($H384="","",IF($T384="To find","Not started",IF(($C384="")+($D384="")+($E384="")+($G384="")+($I384="")+($M384="")+($O384="")+($S384="")&gt;0,"Missing basic details",IF(AND($T384="Downloaded",($R384="")+($U384="")+($V384="")+(($W384="")*(RIGHT(LOWER($U384),4)=".pdf"))&gt;0),"Add file details",IF(AND($T384="Downloaded",LEN($X384)&lt;&gt;64),"Check SHA-256",IF(AND($Q384="",$R384=""),"Add a URL",IF($S384="No","Not official - replace",IF($M384="Not verified","Verify status","OK"))))))))</f>
        <v/>
      </c>
      <c r="AG384" s="21" t="n"/>
      <c r="AH384" s="21" t="n"/>
      <c r="AI384" s="21" t="n"/>
    </row>
    <row r="385" ht="14.25" customHeight="1" s="35">
      <c r="A385" s="21" t="inlineStr">
        <is>
          <t>S-381</t>
        </is>
      </c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19" t="n"/>
      <c r="L385" s="19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19" t="n"/>
      <c r="AD385" s="21" t="n"/>
      <c r="AE385" s="21" t="n"/>
      <c r="AF385" s="21">
        <f>IF($H385="","",IF($T385="To find","Not started",IF(($C385="")+($D385="")+($E385="")+($G385="")+($I385="")+($M385="")+($O385="")+($S385="")&gt;0,"Missing basic details",IF(AND($T385="Downloaded",($R385="")+($U385="")+($V385="")+(($W385="")*(RIGHT(LOWER($U385),4)=".pdf"))&gt;0),"Add file details",IF(AND($T385="Downloaded",LEN($X385)&lt;&gt;64),"Check SHA-256",IF(AND($Q385="",$R385=""),"Add a URL",IF($S385="No","Not official - replace",IF($M385="Not verified","Verify status","OK"))))))))</f>
        <v/>
      </c>
      <c r="AG385" s="21" t="n"/>
      <c r="AH385" s="21" t="n"/>
      <c r="AI385" s="21" t="n"/>
    </row>
    <row r="386" ht="14.25" customHeight="1" s="35">
      <c r="A386" s="21" t="inlineStr">
        <is>
          <t>S-382</t>
        </is>
      </c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19" t="n"/>
      <c r="L386" s="19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21" t="n"/>
      <c r="AC386" s="19" t="n"/>
      <c r="AD386" s="21" t="n"/>
      <c r="AE386" s="21" t="n"/>
      <c r="AF386" s="21">
        <f>IF($H386="","",IF($T386="To find","Not started",IF(($C386="")+($D386="")+($E386="")+($G386="")+($I386="")+($M386="")+($O386="")+($S386="")&gt;0,"Missing basic details",IF(AND($T386="Downloaded",($R386="")+($U386="")+($V386="")+(($W386="")*(RIGHT(LOWER($U386),4)=".pdf"))&gt;0),"Add file details",IF(AND($T386="Downloaded",LEN($X386)&lt;&gt;64),"Check SHA-256",IF(AND($Q386="",$R386=""),"Add a URL",IF($S386="No","Not official - replace",IF($M386="Not verified","Verify status","OK"))))))))</f>
        <v/>
      </c>
      <c r="AG386" s="21" t="n"/>
      <c r="AH386" s="21" t="n"/>
      <c r="AI386" s="21" t="n"/>
    </row>
    <row r="387" ht="14.25" customHeight="1" s="35">
      <c r="A387" s="21" t="inlineStr">
        <is>
          <t>S-383</t>
        </is>
      </c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19" t="n"/>
      <c r="L387" s="19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19" t="n"/>
      <c r="AD387" s="21" t="n"/>
      <c r="AE387" s="21" t="n"/>
      <c r="AF387" s="21">
        <f>IF($H387="","",IF($T387="To find","Not started",IF(($C387="")+($D387="")+($E387="")+($G387="")+($I387="")+($M387="")+($O387="")+($S387="")&gt;0,"Missing basic details",IF(AND($T387="Downloaded",($R387="")+($U387="")+($V387="")+(($W387="")*(RIGHT(LOWER($U387),4)=".pdf"))&gt;0),"Add file details",IF(AND($T387="Downloaded",LEN($X387)&lt;&gt;64),"Check SHA-256",IF(AND($Q387="",$R387=""),"Add a URL",IF($S387="No","Not official - replace",IF($M387="Not verified","Verify status","OK"))))))))</f>
        <v/>
      </c>
      <c r="AG387" s="21" t="n"/>
      <c r="AH387" s="21" t="n"/>
      <c r="AI387" s="21" t="n"/>
    </row>
    <row r="388" ht="14.25" customHeight="1" s="35">
      <c r="A388" s="21" t="inlineStr">
        <is>
          <t>S-384</t>
        </is>
      </c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19" t="n"/>
      <c r="L388" s="19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19" t="n"/>
      <c r="AD388" s="21" t="n"/>
      <c r="AE388" s="21" t="n"/>
      <c r="AF388" s="21">
        <f>IF($H388="","",IF($T388="To find","Not started",IF(($C388="")+($D388="")+($E388="")+($G388="")+($I388="")+($M388="")+($O388="")+($S388="")&gt;0,"Missing basic details",IF(AND($T388="Downloaded",($R388="")+($U388="")+($V388="")+(($W388="")*(RIGHT(LOWER($U388),4)=".pdf"))&gt;0),"Add file details",IF(AND($T388="Downloaded",LEN($X388)&lt;&gt;64),"Check SHA-256",IF(AND($Q388="",$R388=""),"Add a URL",IF($S388="No","Not official - replace",IF($M388="Not verified","Verify status","OK"))))))))</f>
        <v/>
      </c>
      <c r="AG388" s="21" t="n"/>
      <c r="AH388" s="21" t="n"/>
      <c r="AI388" s="21" t="n"/>
    </row>
    <row r="389" ht="14.25" customHeight="1" s="35">
      <c r="A389" s="21" t="inlineStr">
        <is>
          <t>S-385</t>
        </is>
      </c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19" t="n"/>
      <c r="L389" s="19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19" t="n"/>
      <c r="AD389" s="21" t="n"/>
      <c r="AE389" s="21" t="n"/>
      <c r="AF389" s="21">
        <f>IF($H389="","",IF($T389="To find","Not started",IF(($C389="")+($D389="")+($E389="")+($G389="")+($I389="")+($M389="")+($O389="")+($S389="")&gt;0,"Missing basic details",IF(AND($T389="Downloaded",($R389="")+($U389="")+($V389="")+(($W389="")*(RIGHT(LOWER($U389),4)=".pdf"))&gt;0),"Add file details",IF(AND($T389="Downloaded",LEN($X389)&lt;&gt;64),"Check SHA-256",IF(AND($Q389="",$R389=""),"Add a URL",IF($S389="No","Not official - replace",IF($M389="Not verified","Verify status","OK"))))))))</f>
        <v/>
      </c>
      <c r="AG389" s="21" t="n"/>
      <c r="AH389" s="21" t="n"/>
      <c r="AI389" s="21" t="n"/>
    </row>
    <row r="390" ht="14.25" customHeight="1" s="35">
      <c r="A390" s="21" t="inlineStr">
        <is>
          <t>S-386</t>
        </is>
      </c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19" t="n"/>
      <c r="L390" s="19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19" t="n"/>
      <c r="AD390" s="21" t="n"/>
      <c r="AE390" s="21" t="n"/>
      <c r="AF390" s="21">
        <f>IF($H390="","",IF($T390="To find","Not started",IF(($C390="")+($D390="")+($E390="")+($G390="")+($I390="")+($M390="")+($O390="")+($S390="")&gt;0,"Missing basic details",IF(AND($T390="Downloaded",($R390="")+($U390="")+($V390="")+(($W390="")*(RIGHT(LOWER($U390),4)=".pdf"))&gt;0),"Add file details",IF(AND($T390="Downloaded",LEN($X390)&lt;&gt;64),"Check SHA-256",IF(AND($Q390="",$R390=""),"Add a URL",IF($S390="No","Not official - replace",IF($M390="Not verified","Verify status","OK"))))))))</f>
        <v/>
      </c>
      <c r="AG390" s="21" t="n"/>
      <c r="AH390" s="21" t="n"/>
      <c r="AI390" s="21" t="n"/>
    </row>
    <row r="391" ht="14.25" customHeight="1" s="35">
      <c r="A391" s="21" t="inlineStr">
        <is>
          <t>S-387</t>
        </is>
      </c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19" t="n"/>
      <c r="L391" s="19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19" t="n"/>
      <c r="AD391" s="21" t="n"/>
      <c r="AE391" s="21" t="n"/>
      <c r="AF391" s="21">
        <f>IF($H391="","",IF($T391="To find","Not started",IF(($C391="")+($D391="")+($E391="")+($G391="")+($I391="")+($M391="")+($O391="")+($S391="")&gt;0,"Missing basic details",IF(AND($T391="Downloaded",($R391="")+($U391="")+($V391="")+(($W391="")*(RIGHT(LOWER($U391),4)=".pdf"))&gt;0),"Add file details",IF(AND($T391="Downloaded",LEN($X391)&lt;&gt;64),"Check SHA-256",IF(AND($Q391="",$R391=""),"Add a URL",IF($S391="No","Not official - replace",IF($M391="Not verified","Verify status","OK"))))))))</f>
        <v/>
      </c>
      <c r="AG391" s="21" t="n"/>
      <c r="AH391" s="21" t="n"/>
      <c r="AI391" s="21" t="n"/>
    </row>
    <row r="392" ht="14.25" customHeight="1" s="35">
      <c r="A392" s="21" t="inlineStr">
        <is>
          <t>S-388</t>
        </is>
      </c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19" t="n"/>
      <c r="L392" s="19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19" t="n"/>
      <c r="AD392" s="21" t="n"/>
      <c r="AE392" s="21" t="n"/>
      <c r="AF392" s="21">
        <f>IF($H392="","",IF($T392="To find","Not started",IF(($C392="")+($D392="")+($E392="")+($G392="")+($I392="")+($M392="")+($O392="")+($S392="")&gt;0,"Missing basic details",IF(AND($T392="Downloaded",($R392="")+($U392="")+($V392="")+(($W392="")*(RIGHT(LOWER($U392),4)=".pdf"))&gt;0),"Add file details",IF(AND($T392="Downloaded",LEN($X392)&lt;&gt;64),"Check SHA-256",IF(AND($Q392="",$R392=""),"Add a URL",IF($S392="No","Not official - replace",IF($M392="Not verified","Verify status","OK"))))))))</f>
        <v/>
      </c>
      <c r="AG392" s="21" t="n"/>
      <c r="AH392" s="21" t="n"/>
      <c r="AI392" s="21" t="n"/>
    </row>
    <row r="393" ht="14.25" customHeight="1" s="35">
      <c r="A393" s="21" t="inlineStr">
        <is>
          <t>S-389</t>
        </is>
      </c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19" t="n"/>
      <c r="L393" s="19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19" t="n"/>
      <c r="AD393" s="21" t="n"/>
      <c r="AE393" s="21" t="n"/>
      <c r="AF393" s="21">
        <f>IF($H393="","",IF($T393="To find","Not started",IF(($C393="")+($D393="")+($E393="")+($G393="")+($I393="")+($M393="")+($O393="")+($S393="")&gt;0,"Missing basic details",IF(AND($T393="Downloaded",($R393="")+($U393="")+($V393="")+(($W393="")*(RIGHT(LOWER($U393),4)=".pdf"))&gt;0),"Add file details",IF(AND($T393="Downloaded",LEN($X393)&lt;&gt;64),"Check SHA-256",IF(AND($Q393="",$R393=""),"Add a URL",IF($S393="No","Not official - replace",IF($M393="Not verified","Verify status","OK"))))))))</f>
        <v/>
      </c>
      <c r="AG393" s="21" t="n"/>
      <c r="AH393" s="21" t="n"/>
      <c r="AI393" s="21" t="n"/>
    </row>
    <row r="394" ht="14.25" customHeight="1" s="35">
      <c r="A394" s="21" t="inlineStr">
        <is>
          <t>S-390</t>
        </is>
      </c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19" t="n"/>
      <c r="L394" s="19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19" t="n"/>
      <c r="AD394" s="21" t="n"/>
      <c r="AE394" s="21" t="n"/>
      <c r="AF394" s="21">
        <f>IF($H394="","",IF($T394="To find","Not started",IF(($C394="")+($D394="")+($E394="")+($G394="")+($I394="")+($M394="")+($O394="")+($S394="")&gt;0,"Missing basic details",IF(AND($T394="Downloaded",($R394="")+($U394="")+($V394="")+(($W394="")*(RIGHT(LOWER($U394),4)=".pdf"))&gt;0),"Add file details",IF(AND($T394="Downloaded",LEN($X394)&lt;&gt;64),"Check SHA-256",IF(AND($Q394="",$R394=""),"Add a URL",IF($S394="No","Not official - replace",IF($M394="Not verified","Verify status","OK"))))))))</f>
        <v/>
      </c>
      <c r="AG394" s="21" t="n"/>
      <c r="AH394" s="21" t="n"/>
      <c r="AI394" s="21" t="n"/>
    </row>
    <row r="395" ht="14.25" customHeight="1" s="35">
      <c r="A395" s="21" t="inlineStr">
        <is>
          <t>S-391</t>
        </is>
      </c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19" t="n"/>
      <c r="L395" s="19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19" t="n"/>
      <c r="AD395" s="21" t="n"/>
      <c r="AE395" s="21" t="n"/>
      <c r="AF395" s="21">
        <f>IF($H395="","",IF($T395="To find","Not started",IF(($C395="")+($D395="")+($E395="")+($G395="")+($I395="")+($M395="")+($O395="")+($S395="")&gt;0,"Missing basic details",IF(AND($T395="Downloaded",($R395="")+($U395="")+($V395="")+(($W395="")*(RIGHT(LOWER($U395),4)=".pdf"))&gt;0),"Add file details",IF(AND($T395="Downloaded",LEN($X395)&lt;&gt;64),"Check SHA-256",IF(AND($Q395="",$R395=""),"Add a URL",IF($S395="No","Not official - replace",IF($M395="Not verified","Verify status","OK"))))))))</f>
        <v/>
      </c>
      <c r="AG395" s="21" t="n"/>
      <c r="AH395" s="21" t="n"/>
      <c r="AI395" s="21" t="n"/>
    </row>
    <row r="396" ht="14.25" customHeight="1" s="35">
      <c r="A396" s="21" t="inlineStr">
        <is>
          <t>S-392</t>
        </is>
      </c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19" t="n"/>
      <c r="L396" s="19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19" t="n"/>
      <c r="AD396" s="21" t="n"/>
      <c r="AE396" s="21" t="n"/>
      <c r="AF396" s="21">
        <f>IF($H396="","",IF($T396="To find","Not started",IF(($C396="")+($D396="")+($E396="")+($G396="")+($I396="")+($M396="")+($O396="")+($S396="")&gt;0,"Missing basic details",IF(AND($T396="Downloaded",($R396="")+($U396="")+($V396="")+(($W396="")*(RIGHT(LOWER($U396),4)=".pdf"))&gt;0),"Add file details",IF(AND($T396="Downloaded",LEN($X396)&lt;&gt;64),"Check SHA-256",IF(AND($Q396="",$R396=""),"Add a URL",IF($S396="No","Not official - replace",IF($M396="Not verified","Verify status","OK"))))))))</f>
        <v/>
      </c>
      <c r="AG396" s="21" t="n"/>
      <c r="AH396" s="21" t="n"/>
      <c r="AI396" s="21" t="n"/>
    </row>
    <row r="397" ht="14.25" customHeight="1" s="35">
      <c r="A397" s="21" t="inlineStr">
        <is>
          <t>S-393</t>
        </is>
      </c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19" t="n"/>
      <c r="L397" s="19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19" t="n"/>
      <c r="AD397" s="21" t="n"/>
      <c r="AE397" s="21" t="n"/>
      <c r="AF397" s="21">
        <f>IF($H397="","",IF($T397="To find","Not started",IF(($C397="")+($D397="")+($E397="")+($G397="")+($I397="")+($M397="")+($O397="")+($S397="")&gt;0,"Missing basic details",IF(AND($T397="Downloaded",($R397="")+($U397="")+($V397="")+(($W397="")*(RIGHT(LOWER($U397),4)=".pdf"))&gt;0),"Add file details",IF(AND($T397="Downloaded",LEN($X397)&lt;&gt;64),"Check SHA-256",IF(AND($Q397="",$R397=""),"Add a URL",IF($S397="No","Not official - replace",IF($M397="Not verified","Verify status","OK"))))))))</f>
        <v/>
      </c>
      <c r="AG397" s="21" t="n"/>
      <c r="AH397" s="21" t="n"/>
      <c r="AI397" s="21" t="n"/>
    </row>
    <row r="398" ht="14.25" customHeight="1" s="35">
      <c r="A398" s="21" t="inlineStr">
        <is>
          <t>S-394</t>
        </is>
      </c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19" t="n"/>
      <c r="L398" s="19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19" t="n"/>
      <c r="AD398" s="21" t="n"/>
      <c r="AE398" s="21" t="n"/>
      <c r="AF398" s="21">
        <f>IF($H398="","",IF($T398="To find","Not started",IF(($C398="")+($D398="")+($E398="")+($G398="")+($I398="")+($M398="")+($O398="")+($S398="")&gt;0,"Missing basic details",IF(AND($T398="Downloaded",($R398="")+($U398="")+($V398="")+(($W398="")*(RIGHT(LOWER($U398),4)=".pdf"))&gt;0),"Add file details",IF(AND($T398="Downloaded",LEN($X398)&lt;&gt;64),"Check SHA-256",IF(AND($Q398="",$R398=""),"Add a URL",IF($S398="No","Not official - replace",IF($M398="Not verified","Verify status","OK"))))))))</f>
        <v/>
      </c>
      <c r="AG398" s="21" t="n"/>
      <c r="AH398" s="21" t="n"/>
      <c r="AI398" s="21" t="n"/>
    </row>
    <row r="399" ht="14.25" customHeight="1" s="35">
      <c r="A399" s="21" t="inlineStr">
        <is>
          <t>S-395</t>
        </is>
      </c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19" t="n"/>
      <c r="L399" s="19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19" t="n"/>
      <c r="AD399" s="21" t="n"/>
      <c r="AE399" s="21" t="n"/>
      <c r="AF399" s="21">
        <f>IF($H399="","",IF($T399="To find","Not started",IF(($C399="")+($D399="")+($E399="")+($G399="")+($I399="")+($M399="")+($O399="")+($S399="")&gt;0,"Missing basic details",IF(AND($T399="Downloaded",($R399="")+($U399="")+($V399="")+(($W399="")*(RIGHT(LOWER($U399),4)=".pdf"))&gt;0),"Add file details",IF(AND($T399="Downloaded",LEN($X399)&lt;&gt;64),"Check SHA-256",IF(AND($Q399="",$R399=""),"Add a URL",IF($S399="No","Not official - replace",IF($M399="Not verified","Verify status","OK"))))))))</f>
        <v/>
      </c>
      <c r="AG399" s="21" t="n"/>
      <c r="AH399" s="21" t="n"/>
      <c r="AI399" s="21" t="n"/>
    </row>
    <row r="400" ht="14.25" customHeight="1" s="35">
      <c r="A400" s="21" t="inlineStr">
        <is>
          <t>S-396</t>
        </is>
      </c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19" t="n"/>
      <c r="L400" s="19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19" t="n"/>
      <c r="AD400" s="21" t="n"/>
      <c r="AE400" s="21" t="n"/>
      <c r="AF400" s="21">
        <f>IF($H400="","",IF($T400="To find","Not started",IF(($C400="")+($D400="")+($E400="")+($G400="")+($I400="")+($M400="")+($O400="")+($S400="")&gt;0,"Missing basic details",IF(AND($T400="Downloaded",($R400="")+($U400="")+($V400="")+(($W400="")*(RIGHT(LOWER($U400),4)=".pdf"))&gt;0),"Add file details",IF(AND($T400="Downloaded",LEN($X400)&lt;&gt;64),"Check SHA-256",IF(AND($Q400="",$R400=""),"Add a URL",IF($S400="No","Not official - replace",IF($M400="Not verified","Verify status","OK"))))))))</f>
        <v/>
      </c>
      <c r="AG400" s="21" t="n"/>
      <c r="AH400" s="21" t="n"/>
      <c r="AI400" s="21" t="n"/>
    </row>
    <row r="401" ht="14.25" customHeight="1" s="35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  <c r="AA401" s="34" t="n"/>
      <c r="AB401" s="34" t="n"/>
      <c r="AC401" s="34" t="n"/>
      <c r="AD401" s="34" t="n"/>
      <c r="AE401" s="34" t="n"/>
      <c r="AF401" s="34" t="n"/>
      <c r="AG401" s="34" t="n"/>
      <c r="AH401" s="34" t="n"/>
      <c r="AI401" s="34" t="n"/>
    </row>
    <row r="402" ht="14.25" customHeight="1" s="35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  <c r="AA402" s="34" t="n"/>
      <c r="AB402" s="34" t="n"/>
      <c r="AC402" s="34" t="n"/>
      <c r="AD402" s="34" t="n"/>
      <c r="AE402" s="34" t="n"/>
      <c r="AF402" s="34" t="n"/>
      <c r="AG402" s="34" t="n"/>
      <c r="AH402" s="34" t="n"/>
      <c r="AI402" s="34" t="n"/>
    </row>
    <row r="403" ht="14.25" customHeight="1" s="35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  <c r="AA403" s="34" t="n"/>
      <c r="AB403" s="34" t="n"/>
      <c r="AC403" s="34" t="n"/>
      <c r="AD403" s="34" t="n"/>
      <c r="AE403" s="34" t="n"/>
      <c r="AF403" s="34" t="n"/>
      <c r="AG403" s="34" t="n"/>
      <c r="AH403" s="34" t="n"/>
      <c r="AI403" s="34" t="n"/>
    </row>
    <row r="404" ht="14.25" customHeight="1" s="35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  <c r="AA404" s="34" t="n"/>
      <c r="AB404" s="34" t="n"/>
      <c r="AC404" s="34" t="n"/>
      <c r="AD404" s="34" t="n"/>
      <c r="AE404" s="34" t="n"/>
      <c r="AF404" s="34" t="n"/>
      <c r="AG404" s="34" t="n"/>
      <c r="AH404" s="34" t="n"/>
      <c r="AI404" s="34" t="n"/>
    </row>
    <row r="405" ht="14.25" customHeight="1" s="3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  <c r="AA405" s="34" t="n"/>
      <c r="AB405" s="34" t="n"/>
      <c r="AC405" s="34" t="n"/>
      <c r="AD405" s="34" t="n"/>
      <c r="AE405" s="34" t="n"/>
      <c r="AF405" s="34" t="n"/>
      <c r="AG405" s="34" t="n"/>
      <c r="AH405" s="34" t="n"/>
      <c r="AI405" s="34" t="n"/>
    </row>
    <row r="406" ht="14.25" customHeight="1" s="35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  <c r="AA406" s="34" t="n"/>
      <c r="AB406" s="34" t="n"/>
      <c r="AC406" s="34" t="n"/>
      <c r="AD406" s="34" t="n"/>
      <c r="AE406" s="34" t="n"/>
      <c r="AF406" s="34" t="n"/>
      <c r="AG406" s="34" t="n"/>
      <c r="AH406" s="34" t="n"/>
      <c r="AI406" s="34" t="n"/>
    </row>
    <row r="407" ht="14.25" customHeight="1" s="35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  <c r="AA407" s="34" t="n"/>
      <c r="AB407" s="34" t="n"/>
      <c r="AC407" s="34" t="n"/>
      <c r="AD407" s="34" t="n"/>
      <c r="AE407" s="34" t="n"/>
      <c r="AF407" s="34" t="n"/>
      <c r="AG407" s="34" t="n"/>
      <c r="AH407" s="34" t="n"/>
      <c r="AI407" s="34" t="n"/>
    </row>
    <row r="408" ht="14.25" customHeight="1" s="35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  <c r="AA408" s="34" t="n"/>
      <c r="AB408" s="34" t="n"/>
      <c r="AC408" s="34" t="n"/>
      <c r="AD408" s="34" t="n"/>
      <c r="AE408" s="34" t="n"/>
      <c r="AF408" s="34" t="n"/>
      <c r="AG408" s="34" t="n"/>
      <c r="AH408" s="34" t="n"/>
      <c r="AI408" s="34" t="n"/>
    </row>
    <row r="409" ht="14.25" customHeight="1" s="35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  <c r="AA409" s="34" t="n"/>
      <c r="AB409" s="34" t="n"/>
      <c r="AC409" s="34" t="n"/>
      <c r="AD409" s="34" t="n"/>
      <c r="AE409" s="34" t="n"/>
      <c r="AF409" s="34" t="n"/>
      <c r="AG409" s="34" t="n"/>
      <c r="AH409" s="34" t="n"/>
      <c r="AI409" s="34" t="n"/>
    </row>
    <row r="410" ht="14.25" customHeight="1" s="35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  <c r="AA410" s="34" t="n"/>
      <c r="AB410" s="34" t="n"/>
      <c r="AC410" s="34" t="n"/>
      <c r="AD410" s="34" t="n"/>
      <c r="AE410" s="34" t="n"/>
      <c r="AF410" s="34" t="n"/>
      <c r="AG410" s="34" t="n"/>
      <c r="AH410" s="34" t="n"/>
      <c r="AI410" s="34" t="n"/>
    </row>
    <row r="411" ht="14.25" customHeight="1" s="35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  <c r="AA411" s="34" t="n"/>
      <c r="AB411" s="34" t="n"/>
      <c r="AC411" s="34" t="n"/>
      <c r="AD411" s="34" t="n"/>
      <c r="AE411" s="34" t="n"/>
      <c r="AF411" s="34" t="n"/>
      <c r="AG411" s="34" t="n"/>
      <c r="AH411" s="34" t="n"/>
      <c r="AI411" s="34" t="n"/>
    </row>
    <row r="412" ht="14.25" customHeight="1" s="35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  <c r="AA412" s="34" t="n"/>
      <c r="AB412" s="34" t="n"/>
      <c r="AC412" s="34" t="n"/>
      <c r="AD412" s="34" t="n"/>
      <c r="AE412" s="34" t="n"/>
      <c r="AF412" s="34" t="n"/>
      <c r="AG412" s="34" t="n"/>
      <c r="AH412" s="34" t="n"/>
      <c r="AI412" s="34" t="n"/>
    </row>
    <row r="413" ht="14.25" customHeight="1" s="35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  <c r="AA413" s="34" t="n"/>
      <c r="AB413" s="34" t="n"/>
      <c r="AC413" s="34" t="n"/>
      <c r="AD413" s="34" t="n"/>
      <c r="AE413" s="34" t="n"/>
      <c r="AF413" s="34" t="n"/>
      <c r="AG413" s="34" t="n"/>
      <c r="AH413" s="34" t="n"/>
      <c r="AI413" s="34" t="n"/>
    </row>
    <row r="414" ht="14.25" customHeight="1" s="35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  <c r="AA414" s="34" t="n"/>
      <c r="AB414" s="34" t="n"/>
      <c r="AC414" s="34" t="n"/>
      <c r="AD414" s="34" t="n"/>
      <c r="AE414" s="34" t="n"/>
      <c r="AF414" s="34" t="n"/>
      <c r="AG414" s="34" t="n"/>
      <c r="AH414" s="34" t="n"/>
      <c r="AI414" s="34" t="n"/>
    </row>
    <row r="415" ht="14.25" customHeight="1" s="3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  <c r="AA415" s="34" t="n"/>
      <c r="AB415" s="34" t="n"/>
      <c r="AC415" s="34" t="n"/>
      <c r="AD415" s="34" t="n"/>
      <c r="AE415" s="34" t="n"/>
      <c r="AF415" s="34" t="n"/>
      <c r="AG415" s="34" t="n"/>
      <c r="AH415" s="34" t="n"/>
      <c r="AI415" s="34" t="n"/>
    </row>
    <row r="416" ht="14.25" customHeight="1" s="35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  <c r="AA416" s="34" t="n"/>
      <c r="AB416" s="34" t="n"/>
      <c r="AC416" s="34" t="n"/>
      <c r="AD416" s="34" t="n"/>
      <c r="AE416" s="34" t="n"/>
      <c r="AF416" s="34" t="n"/>
      <c r="AG416" s="34" t="n"/>
      <c r="AH416" s="34" t="n"/>
      <c r="AI416" s="34" t="n"/>
    </row>
    <row r="417" ht="14.25" customHeight="1" s="35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  <c r="AA417" s="34" t="n"/>
      <c r="AB417" s="34" t="n"/>
      <c r="AC417" s="34" t="n"/>
      <c r="AD417" s="34" t="n"/>
      <c r="AE417" s="34" t="n"/>
      <c r="AF417" s="34" t="n"/>
      <c r="AG417" s="34" t="n"/>
      <c r="AH417" s="34" t="n"/>
      <c r="AI417" s="34" t="n"/>
    </row>
    <row r="418" ht="14.25" customHeight="1" s="35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  <c r="AA418" s="34" t="n"/>
      <c r="AB418" s="34" t="n"/>
      <c r="AC418" s="34" t="n"/>
      <c r="AD418" s="34" t="n"/>
      <c r="AE418" s="34" t="n"/>
      <c r="AF418" s="34" t="n"/>
      <c r="AG418" s="34" t="n"/>
      <c r="AH418" s="34" t="n"/>
      <c r="AI418" s="34" t="n"/>
    </row>
    <row r="419" ht="14.25" customHeight="1" s="35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  <c r="AA419" s="34" t="n"/>
      <c r="AB419" s="34" t="n"/>
      <c r="AC419" s="34" t="n"/>
      <c r="AD419" s="34" t="n"/>
      <c r="AE419" s="34" t="n"/>
      <c r="AF419" s="34" t="n"/>
      <c r="AG419" s="34" t="n"/>
      <c r="AH419" s="34" t="n"/>
      <c r="AI419" s="34" t="n"/>
    </row>
    <row r="420" ht="14.25" customHeight="1" s="35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  <c r="AA420" s="34" t="n"/>
      <c r="AB420" s="34" t="n"/>
      <c r="AC420" s="34" t="n"/>
      <c r="AD420" s="34" t="n"/>
      <c r="AE420" s="34" t="n"/>
      <c r="AF420" s="34" t="n"/>
      <c r="AG420" s="34" t="n"/>
      <c r="AH420" s="34" t="n"/>
      <c r="AI420" s="34" t="n"/>
    </row>
    <row r="421" ht="14.25" customHeight="1" s="35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  <c r="AA421" s="34" t="n"/>
      <c r="AB421" s="34" t="n"/>
      <c r="AC421" s="34" t="n"/>
      <c r="AD421" s="34" t="n"/>
      <c r="AE421" s="34" t="n"/>
      <c r="AF421" s="34" t="n"/>
      <c r="AG421" s="34" t="n"/>
      <c r="AH421" s="34" t="n"/>
      <c r="AI421" s="34" t="n"/>
    </row>
    <row r="422" ht="14.25" customHeight="1" s="35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  <c r="AA422" s="34" t="n"/>
      <c r="AB422" s="34" t="n"/>
      <c r="AC422" s="34" t="n"/>
      <c r="AD422" s="34" t="n"/>
      <c r="AE422" s="34" t="n"/>
      <c r="AF422" s="34" t="n"/>
      <c r="AG422" s="34" t="n"/>
      <c r="AH422" s="34" t="n"/>
      <c r="AI422" s="34" t="n"/>
    </row>
    <row r="423" ht="14.25" customHeight="1" s="35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  <c r="AA423" s="34" t="n"/>
      <c r="AB423" s="34" t="n"/>
      <c r="AC423" s="34" t="n"/>
      <c r="AD423" s="34" t="n"/>
      <c r="AE423" s="34" t="n"/>
      <c r="AF423" s="34" t="n"/>
      <c r="AG423" s="34" t="n"/>
      <c r="AH423" s="34" t="n"/>
      <c r="AI423" s="34" t="n"/>
    </row>
    <row r="424" ht="14.25" customHeight="1" s="35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  <c r="AA424" s="34" t="n"/>
      <c r="AB424" s="34" t="n"/>
      <c r="AC424" s="34" t="n"/>
      <c r="AD424" s="34" t="n"/>
      <c r="AE424" s="34" t="n"/>
      <c r="AF424" s="34" t="n"/>
      <c r="AG424" s="34" t="n"/>
      <c r="AH424" s="34" t="n"/>
      <c r="AI424" s="34" t="n"/>
    </row>
    <row r="425" ht="14.25" customHeight="1" s="3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  <c r="AA425" s="34" t="n"/>
      <c r="AB425" s="34" t="n"/>
      <c r="AC425" s="34" t="n"/>
      <c r="AD425" s="34" t="n"/>
      <c r="AE425" s="34" t="n"/>
      <c r="AF425" s="34" t="n"/>
      <c r="AG425" s="34" t="n"/>
      <c r="AH425" s="34" t="n"/>
      <c r="AI425" s="34" t="n"/>
    </row>
    <row r="426" ht="14.25" customHeight="1" s="35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  <c r="AA426" s="34" t="n"/>
      <c r="AB426" s="34" t="n"/>
      <c r="AC426" s="34" t="n"/>
      <c r="AD426" s="34" t="n"/>
      <c r="AE426" s="34" t="n"/>
      <c r="AF426" s="34" t="n"/>
      <c r="AG426" s="34" t="n"/>
      <c r="AH426" s="34" t="n"/>
      <c r="AI426" s="34" t="n"/>
    </row>
    <row r="427" ht="14.25" customHeight="1" s="35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  <c r="AA427" s="34" t="n"/>
      <c r="AB427" s="34" t="n"/>
      <c r="AC427" s="34" t="n"/>
      <c r="AD427" s="34" t="n"/>
      <c r="AE427" s="34" t="n"/>
      <c r="AF427" s="34" t="n"/>
      <c r="AG427" s="34" t="n"/>
      <c r="AH427" s="34" t="n"/>
      <c r="AI427" s="34" t="n"/>
    </row>
    <row r="428" ht="14.25" customHeight="1" s="35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  <c r="AA428" s="34" t="n"/>
      <c r="AB428" s="34" t="n"/>
      <c r="AC428" s="34" t="n"/>
      <c r="AD428" s="34" t="n"/>
      <c r="AE428" s="34" t="n"/>
      <c r="AF428" s="34" t="n"/>
      <c r="AG428" s="34" t="n"/>
      <c r="AH428" s="34" t="n"/>
      <c r="AI428" s="34" t="n"/>
    </row>
    <row r="429" ht="14.25" customHeight="1" s="35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  <c r="AA429" s="34" t="n"/>
      <c r="AB429" s="34" t="n"/>
      <c r="AC429" s="34" t="n"/>
      <c r="AD429" s="34" t="n"/>
      <c r="AE429" s="34" t="n"/>
      <c r="AF429" s="34" t="n"/>
      <c r="AG429" s="34" t="n"/>
      <c r="AH429" s="34" t="n"/>
      <c r="AI429" s="34" t="n"/>
    </row>
    <row r="430" ht="14.25" customHeight="1" s="35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  <c r="AA430" s="34" t="n"/>
      <c r="AB430" s="34" t="n"/>
      <c r="AC430" s="34" t="n"/>
      <c r="AD430" s="34" t="n"/>
      <c r="AE430" s="34" t="n"/>
      <c r="AF430" s="34" t="n"/>
      <c r="AG430" s="34" t="n"/>
      <c r="AH430" s="34" t="n"/>
      <c r="AI430" s="34" t="n"/>
    </row>
    <row r="431" ht="14.25" customHeight="1" s="35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  <c r="AA431" s="34" t="n"/>
      <c r="AB431" s="34" t="n"/>
      <c r="AC431" s="34" t="n"/>
      <c r="AD431" s="34" t="n"/>
      <c r="AE431" s="34" t="n"/>
      <c r="AF431" s="34" t="n"/>
      <c r="AG431" s="34" t="n"/>
      <c r="AH431" s="34" t="n"/>
      <c r="AI431" s="34" t="n"/>
    </row>
    <row r="432" ht="14.25" customHeight="1" s="35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  <c r="AA432" s="34" t="n"/>
      <c r="AB432" s="34" t="n"/>
      <c r="AC432" s="34" t="n"/>
      <c r="AD432" s="34" t="n"/>
      <c r="AE432" s="34" t="n"/>
      <c r="AF432" s="34" t="n"/>
      <c r="AG432" s="34" t="n"/>
      <c r="AH432" s="34" t="n"/>
      <c r="AI432" s="34" t="n"/>
    </row>
    <row r="433" ht="14.25" customHeight="1" s="35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  <c r="AA433" s="34" t="n"/>
      <c r="AB433" s="34" t="n"/>
      <c r="AC433" s="34" t="n"/>
      <c r="AD433" s="34" t="n"/>
      <c r="AE433" s="34" t="n"/>
      <c r="AF433" s="34" t="n"/>
      <c r="AG433" s="34" t="n"/>
      <c r="AH433" s="34" t="n"/>
      <c r="AI433" s="34" t="n"/>
    </row>
    <row r="434" ht="14.25" customHeight="1" s="35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  <c r="AA434" s="34" t="n"/>
      <c r="AB434" s="34" t="n"/>
      <c r="AC434" s="34" t="n"/>
      <c r="AD434" s="34" t="n"/>
      <c r="AE434" s="34" t="n"/>
      <c r="AF434" s="34" t="n"/>
      <c r="AG434" s="34" t="n"/>
      <c r="AH434" s="34" t="n"/>
      <c r="AI434" s="34" t="n"/>
    </row>
    <row r="435" ht="14.25" customHeight="1" s="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  <c r="AA435" s="34" t="n"/>
      <c r="AB435" s="34" t="n"/>
      <c r="AC435" s="34" t="n"/>
      <c r="AD435" s="34" t="n"/>
      <c r="AE435" s="34" t="n"/>
      <c r="AF435" s="34" t="n"/>
      <c r="AG435" s="34" t="n"/>
      <c r="AH435" s="34" t="n"/>
      <c r="AI435" s="34" t="n"/>
    </row>
    <row r="436" ht="14.25" customHeight="1" s="35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  <c r="AA436" s="34" t="n"/>
      <c r="AB436" s="34" t="n"/>
      <c r="AC436" s="34" t="n"/>
      <c r="AD436" s="34" t="n"/>
      <c r="AE436" s="34" t="n"/>
      <c r="AF436" s="34" t="n"/>
      <c r="AG436" s="34" t="n"/>
      <c r="AH436" s="34" t="n"/>
      <c r="AI436" s="34" t="n"/>
    </row>
    <row r="437" ht="14.25" customHeight="1" s="35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  <c r="AA437" s="34" t="n"/>
      <c r="AB437" s="34" t="n"/>
      <c r="AC437" s="34" t="n"/>
      <c r="AD437" s="34" t="n"/>
      <c r="AE437" s="34" t="n"/>
      <c r="AF437" s="34" t="n"/>
      <c r="AG437" s="34" t="n"/>
      <c r="AH437" s="34" t="n"/>
      <c r="AI437" s="34" t="n"/>
    </row>
    <row r="438" ht="14.25" customHeight="1" s="35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  <c r="AA438" s="34" t="n"/>
      <c r="AB438" s="34" t="n"/>
      <c r="AC438" s="34" t="n"/>
      <c r="AD438" s="34" t="n"/>
      <c r="AE438" s="34" t="n"/>
      <c r="AF438" s="34" t="n"/>
      <c r="AG438" s="34" t="n"/>
      <c r="AH438" s="34" t="n"/>
      <c r="AI438" s="34" t="n"/>
    </row>
    <row r="439" ht="14.25" customHeight="1" s="35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  <c r="AA439" s="34" t="n"/>
      <c r="AB439" s="34" t="n"/>
      <c r="AC439" s="34" t="n"/>
      <c r="AD439" s="34" t="n"/>
      <c r="AE439" s="34" t="n"/>
      <c r="AF439" s="34" t="n"/>
      <c r="AG439" s="34" t="n"/>
      <c r="AH439" s="34" t="n"/>
      <c r="AI439" s="34" t="n"/>
    </row>
    <row r="440" ht="14.25" customHeight="1" s="35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  <c r="AA440" s="34" t="n"/>
      <c r="AB440" s="34" t="n"/>
      <c r="AC440" s="34" t="n"/>
      <c r="AD440" s="34" t="n"/>
      <c r="AE440" s="34" t="n"/>
      <c r="AF440" s="34" t="n"/>
      <c r="AG440" s="34" t="n"/>
      <c r="AH440" s="34" t="n"/>
      <c r="AI440" s="34" t="n"/>
    </row>
    <row r="441" ht="14.25" customHeight="1" s="35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  <c r="AA441" s="34" t="n"/>
      <c r="AB441" s="34" t="n"/>
      <c r="AC441" s="34" t="n"/>
      <c r="AD441" s="34" t="n"/>
      <c r="AE441" s="34" t="n"/>
      <c r="AF441" s="34" t="n"/>
      <c r="AG441" s="34" t="n"/>
      <c r="AH441" s="34" t="n"/>
      <c r="AI441" s="34" t="n"/>
    </row>
    <row r="442" ht="14.25" customHeight="1" s="35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  <c r="AA442" s="34" t="n"/>
      <c r="AB442" s="34" t="n"/>
      <c r="AC442" s="34" t="n"/>
      <c r="AD442" s="34" t="n"/>
      <c r="AE442" s="34" t="n"/>
      <c r="AF442" s="34" t="n"/>
      <c r="AG442" s="34" t="n"/>
      <c r="AH442" s="34" t="n"/>
      <c r="AI442" s="34" t="n"/>
    </row>
    <row r="443" ht="14.25" customHeight="1" s="35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  <c r="AA443" s="34" t="n"/>
      <c r="AB443" s="34" t="n"/>
      <c r="AC443" s="34" t="n"/>
      <c r="AD443" s="34" t="n"/>
      <c r="AE443" s="34" t="n"/>
      <c r="AF443" s="34" t="n"/>
      <c r="AG443" s="34" t="n"/>
      <c r="AH443" s="34" t="n"/>
      <c r="AI443" s="34" t="n"/>
    </row>
    <row r="444" ht="14.25" customHeight="1" s="35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  <c r="AA444" s="34" t="n"/>
      <c r="AB444" s="34" t="n"/>
      <c r="AC444" s="34" t="n"/>
      <c r="AD444" s="34" t="n"/>
      <c r="AE444" s="34" t="n"/>
      <c r="AF444" s="34" t="n"/>
      <c r="AG444" s="34" t="n"/>
      <c r="AH444" s="34" t="n"/>
      <c r="AI444" s="34" t="n"/>
    </row>
    <row r="445" ht="14.25" customHeight="1" s="3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  <c r="AA445" s="34" t="n"/>
      <c r="AB445" s="34" t="n"/>
      <c r="AC445" s="34" t="n"/>
      <c r="AD445" s="34" t="n"/>
      <c r="AE445" s="34" t="n"/>
      <c r="AF445" s="34" t="n"/>
      <c r="AG445" s="34" t="n"/>
      <c r="AH445" s="34" t="n"/>
      <c r="AI445" s="34" t="n"/>
    </row>
    <row r="446" ht="14.25" customHeight="1" s="35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  <c r="AA446" s="34" t="n"/>
      <c r="AB446" s="34" t="n"/>
      <c r="AC446" s="34" t="n"/>
      <c r="AD446" s="34" t="n"/>
      <c r="AE446" s="34" t="n"/>
      <c r="AF446" s="34" t="n"/>
      <c r="AG446" s="34" t="n"/>
      <c r="AH446" s="34" t="n"/>
      <c r="AI446" s="34" t="n"/>
    </row>
    <row r="447" ht="14.25" customHeight="1" s="35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  <c r="AA447" s="34" t="n"/>
      <c r="AB447" s="34" t="n"/>
      <c r="AC447" s="34" t="n"/>
      <c r="AD447" s="34" t="n"/>
      <c r="AE447" s="34" t="n"/>
      <c r="AF447" s="34" t="n"/>
      <c r="AG447" s="34" t="n"/>
      <c r="AH447" s="34" t="n"/>
      <c r="AI447" s="34" t="n"/>
    </row>
    <row r="448" ht="14.25" customHeight="1" s="35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  <c r="AA448" s="34" t="n"/>
      <c r="AB448" s="34" t="n"/>
      <c r="AC448" s="34" t="n"/>
      <c r="AD448" s="34" t="n"/>
      <c r="AE448" s="34" t="n"/>
      <c r="AF448" s="34" t="n"/>
      <c r="AG448" s="34" t="n"/>
      <c r="AH448" s="34" t="n"/>
      <c r="AI448" s="34" t="n"/>
    </row>
    <row r="449" ht="14.25" customHeight="1" s="35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  <c r="AA449" s="34" t="n"/>
      <c r="AB449" s="34" t="n"/>
      <c r="AC449" s="34" t="n"/>
      <c r="AD449" s="34" t="n"/>
      <c r="AE449" s="34" t="n"/>
      <c r="AF449" s="34" t="n"/>
      <c r="AG449" s="34" t="n"/>
      <c r="AH449" s="34" t="n"/>
      <c r="AI449" s="34" t="n"/>
    </row>
    <row r="450" ht="14.25" customHeight="1" s="35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  <c r="AA450" s="34" t="n"/>
      <c r="AB450" s="34" t="n"/>
      <c r="AC450" s="34" t="n"/>
      <c r="AD450" s="34" t="n"/>
      <c r="AE450" s="34" t="n"/>
      <c r="AF450" s="34" t="n"/>
      <c r="AG450" s="34" t="n"/>
      <c r="AH450" s="34" t="n"/>
      <c r="AI450" s="34" t="n"/>
    </row>
    <row r="451" ht="14.25" customHeight="1" s="35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  <c r="AA451" s="34" t="n"/>
      <c r="AB451" s="34" t="n"/>
      <c r="AC451" s="34" t="n"/>
      <c r="AD451" s="34" t="n"/>
      <c r="AE451" s="34" t="n"/>
      <c r="AF451" s="34" t="n"/>
      <c r="AG451" s="34" t="n"/>
      <c r="AH451" s="34" t="n"/>
      <c r="AI451" s="34" t="n"/>
    </row>
    <row r="452" ht="14.25" customHeight="1" s="35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  <c r="AA452" s="34" t="n"/>
      <c r="AB452" s="34" t="n"/>
      <c r="AC452" s="34" t="n"/>
      <c r="AD452" s="34" t="n"/>
      <c r="AE452" s="34" t="n"/>
      <c r="AF452" s="34" t="n"/>
      <c r="AG452" s="34" t="n"/>
      <c r="AH452" s="34" t="n"/>
      <c r="AI452" s="34" t="n"/>
    </row>
    <row r="453" ht="14.25" customHeight="1" s="35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  <c r="AA453" s="34" t="n"/>
      <c r="AB453" s="34" t="n"/>
      <c r="AC453" s="34" t="n"/>
      <c r="AD453" s="34" t="n"/>
      <c r="AE453" s="34" t="n"/>
      <c r="AF453" s="34" t="n"/>
      <c r="AG453" s="34" t="n"/>
      <c r="AH453" s="34" t="n"/>
      <c r="AI453" s="34" t="n"/>
    </row>
    <row r="454" ht="14.25" customHeight="1" s="35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  <c r="AA454" s="34" t="n"/>
      <c r="AB454" s="34" t="n"/>
      <c r="AC454" s="34" t="n"/>
      <c r="AD454" s="34" t="n"/>
      <c r="AE454" s="34" t="n"/>
      <c r="AF454" s="34" t="n"/>
      <c r="AG454" s="34" t="n"/>
      <c r="AH454" s="34" t="n"/>
      <c r="AI454" s="34" t="n"/>
    </row>
    <row r="455" ht="14.25" customHeight="1" s="3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  <c r="AA455" s="34" t="n"/>
      <c r="AB455" s="34" t="n"/>
      <c r="AC455" s="34" t="n"/>
      <c r="AD455" s="34" t="n"/>
      <c r="AE455" s="34" t="n"/>
      <c r="AF455" s="34" t="n"/>
      <c r="AG455" s="34" t="n"/>
      <c r="AH455" s="34" t="n"/>
      <c r="AI455" s="34" t="n"/>
    </row>
    <row r="456" ht="14.25" customHeight="1" s="35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  <c r="AA456" s="34" t="n"/>
      <c r="AB456" s="34" t="n"/>
      <c r="AC456" s="34" t="n"/>
      <c r="AD456" s="34" t="n"/>
      <c r="AE456" s="34" t="n"/>
      <c r="AF456" s="34" t="n"/>
      <c r="AG456" s="34" t="n"/>
      <c r="AH456" s="34" t="n"/>
      <c r="AI456" s="34" t="n"/>
    </row>
    <row r="457" ht="14.25" customHeight="1" s="35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  <c r="AA457" s="34" t="n"/>
      <c r="AB457" s="34" t="n"/>
      <c r="AC457" s="34" t="n"/>
      <c r="AD457" s="34" t="n"/>
      <c r="AE457" s="34" t="n"/>
      <c r="AF457" s="34" t="n"/>
      <c r="AG457" s="34" t="n"/>
      <c r="AH457" s="34" t="n"/>
      <c r="AI457" s="34" t="n"/>
    </row>
    <row r="458" ht="14.25" customHeight="1" s="35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  <c r="AA458" s="34" t="n"/>
      <c r="AB458" s="34" t="n"/>
      <c r="AC458" s="34" t="n"/>
      <c r="AD458" s="34" t="n"/>
      <c r="AE458" s="34" t="n"/>
      <c r="AF458" s="34" t="n"/>
      <c r="AG458" s="34" t="n"/>
      <c r="AH458" s="34" t="n"/>
      <c r="AI458" s="34" t="n"/>
    </row>
    <row r="459" ht="14.25" customHeight="1" s="35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  <c r="AA459" s="34" t="n"/>
      <c r="AB459" s="34" t="n"/>
      <c r="AC459" s="34" t="n"/>
      <c r="AD459" s="34" t="n"/>
      <c r="AE459" s="34" t="n"/>
      <c r="AF459" s="34" t="n"/>
      <c r="AG459" s="34" t="n"/>
      <c r="AH459" s="34" t="n"/>
      <c r="AI459" s="34" t="n"/>
    </row>
    <row r="460" ht="14.25" customHeight="1" s="35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  <c r="AA460" s="34" t="n"/>
      <c r="AB460" s="34" t="n"/>
      <c r="AC460" s="34" t="n"/>
      <c r="AD460" s="34" t="n"/>
      <c r="AE460" s="34" t="n"/>
      <c r="AF460" s="34" t="n"/>
      <c r="AG460" s="34" t="n"/>
      <c r="AH460" s="34" t="n"/>
      <c r="AI460" s="34" t="n"/>
    </row>
    <row r="461" ht="14.25" customHeight="1" s="35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  <c r="AA461" s="34" t="n"/>
      <c r="AB461" s="34" t="n"/>
      <c r="AC461" s="34" t="n"/>
      <c r="AD461" s="34" t="n"/>
      <c r="AE461" s="34" t="n"/>
      <c r="AF461" s="34" t="n"/>
      <c r="AG461" s="34" t="n"/>
      <c r="AH461" s="34" t="n"/>
      <c r="AI461" s="34" t="n"/>
    </row>
    <row r="462" ht="14.25" customHeight="1" s="35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  <c r="AA462" s="34" t="n"/>
      <c r="AB462" s="34" t="n"/>
      <c r="AC462" s="34" t="n"/>
      <c r="AD462" s="34" t="n"/>
      <c r="AE462" s="34" t="n"/>
      <c r="AF462" s="34" t="n"/>
      <c r="AG462" s="34" t="n"/>
      <c r="AH462" s="34" t="n"/>
      <c r="AI462" s="34" t="n"/>
    </row>
    <row r="463" ht="14.25" customHeight="1" s="35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  <c r="AA463" s="34" t="n"/>
      <c r="AB463" s="34" t="n"/>
      <c r="AC463" s="34" t="n"/>
      <c r="AD463" s="34" t="n"/>
      <c r="AE463" s="34" t="n"/>
      <c r="AF463" s="34" t="n"/>
      <c r="AG463" s="34" t="n"/>
      <c r="AH463" s="34" t="n"/>
      <c r="AI463" s="34" t="n"/>
    </row>
    <row r="464" ht="14.25" customHeight="1" s="35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  <c r="AA464" s="34" t="n"/>
      <c r="AB464" s="34" t="n"/>
      <c r="AC464" s="34" t="n"/>
      <c r="AD464" s="34" t="n"/>
      <c r="AE464" s="34" t="n"/>
      <c r="AF464" s="34" t="n"/>
      <c r="AG464" s="34" t="n"/>
      <c r="AH464" s="34" t="n"/>
      <c r="AI464" s="34" t="n"/>
    </row>
    <row r="465" ht="14.25" customHeight="1" s="3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  <c r="AA465" s="34" t="n"/>
      <c r="AB465" s="34" t="n"/>
      <c r="AC465" s="34" t="n"/>
      <c r="AD465" s="34" t="n"/>
      <c r="AE465" s="34" t="n"/>
      <c r="AF465" s="34" t="n"/>
      <c r="AG465" s="34" t="n"/>
      <c r="AH465" s="34" t="n"/>
      <c r="AI465" s="34" t="n"/>
    </row>
    <row r="466" ht="14.25" customHeight="1" s="35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  <c r="AA466" s="34" t="n"/>
      <c r="AB466" s="34" t="n"/>
      <c r="AC466" s="34" t="n"/>
      <c r="AD466" s="34" t="n"/>
      <c r="AE466" s="34" t="n"/>
      <c r="AF466" s="34" t="n"/>
      <c r="AG466" s="34" t="n"/>
      <c r="AH466" s="34" t="n"/>
      <c r="AI466" s="34" t="n"/>
    </row>
    <row r="467" ht="14.25" customHeight="1" s="35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  <c r="AA467" s="34" t="n"/>
      <c r="AB467" s="34" t="n"/>
      <c r="AC467" s="34" t="n"/>
      <c r="AD467" s="34" t="n"/>
      <c r="AE467" s="34" t="n"/>
      <c r="AF467" s="34" t="n"/>
      <c r="AG467" s="34" t="n"/>
      <c r="AH467" s="34" t="n"/>
      <c r="AI467" s="34" t="n"/>
    </row>
    <row r="468" ht="14.25" customHeight="1" s="35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  <c r="AA468" s="34" t="n"/>
      <c r="AB468" s="34" t="n"/>
      <c r="AC468" s="34" t="n"/>
      <c r="AD468" s="34" t="n"/>
      <c r="AE468" s="34" t="n"/>
      <c r="AF468" s="34" t="n"/>
      <c r="AG468" s="34" t="n"/>
      <c r="AH468" s="34" t="n"/>
      <c r="AI468" s="34" t="n"/>
    </row>
    <row r="469" ht="14.25" customHeight="1" s="35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  <c r="AA469" s="34" t="n"/>
      <c r="AB469" s="34" t="n"/>
      <c r="AC469" s="34" t="n"/>
      <c r="AD469" s="34" t="n"/>
      <c r="AE469" s="34" t="n"/>
      <c r="AF469" s="34" t="n"/>
      <c r="AG469" s="34" t="n"/>
      <c r="AH469" s="34" t="n"/>
      <c r="AI469" s="34" t="n"/>
    </row>
    <row r="470" ht="14.25" customHeight="1" s="35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  <c r="AA470" s="34" t="n"/>
      <c r="AB470" s="34" t="n"/>
      <c r="AC470" s="34" t="n"/>
      <c r="AD470" s="34" t="n"/>
      <c r="AE470" s="34" t="n"/>
      <c r="AF470" s="34" t="n"/>
      <c r="AG470" s="34" t="n"/>
      <c r="AH470" s="34" t="n"/>
      <c r="AI470" s="34" t="n"/>
    </row>
    <row r="471" ht="14.25" customHeight="1" s="35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  <c r="AA471" s="34" t="n"/>
      <c r="AB471" s="34" t="n"/>
      <c r="AC471" s="34" t="n"/>
      <c r="AD471" s="34" t="n"/>
      <c r="AE471" s="34" t="n"/>
      <c r="AF471" s="34" t="n"/>
      <c r="AG471" s="34" t="n"/>
      <c r="AH471" s="34" t="n"/>
      <c r="AI471" s="34" t="n"/>
    </row>
    <row r="472" ht="14.25" customHeight="1" s="35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  <c r="AA472" s="34" t="n"/>
      <c r="AB472" s="34" t="n"/>
      <c r="AC472" s="34" t="n"/>
      <c r="AD472" s="34" t="n"/>
      <c r="AE472" s="34" t="n"/>
      <c r="AF472" s="34" t="n"/>
      <c r="AG472" s="34" t="n"/>
      <c r="AH472" s="34" t="n"/>
      <c r="AI472" s="34" t="n"/>
    </row>
    <row r="473" ht="14.25" customHeight="1" s="35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  <c r="AA473" s="34" t="n"/>
      <c r="AB473" s="34" t="n"/>
      <c r="AC473" s="34" t="n"/>
      <c r="AD473" s="34" t="n"/>
      <c r="AE473" s="34" t="n"/>
      <c r="AF473" s="34" t="n"/>
      <c r="AG473" s="34" t="n"/>
      <c r="AH473" s="34" t="n"/>
      <c r="AI473" s="34" t="n"/>
    </row>
    <row r="474" ht="14.25" customHeight="1" s="35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  <c r="AA474" s="34" t="n"/>
      <c r="AB474" s="34" t="n"/>
      <c r="AC474" s="34" t="n"/>
      <c r="AD474" s="34" t="n"/>
      <c r="AE474" s="34" t="n"/>
      <c r="AF474" s="34" t="n"/>
      <c r="AG474" s="34" t="n"/>
      <c r="AH474" s="34" t="n"/>
      <c r="AI474" s="34" t="n"/>
    </row>
    <row r="475" ht="14.25" customHeight="1" s="3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  <c r="AA475" s="34" t="n"/>
      <c r="AB475" s="34" t="n"/>
      <c r="AC475" s="34" t="n"/>
      <c r="AD475" s="34" t="n"/>
      <c r="AE475" s="34" t="n"/>
      <c r="AF475" s="34" t="n"/>
      <c r="AG475" s="34" t="n"/>
      <c r="AH475" s="34" t="n"/>
      <c r="AI475" s="34" t="n"/>
    </row>
    <row r="476" ht="14.25" customHeight="1" s="35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  <c r="AA476" s="34" t="n"/>
      <c r="AB476" s="34" t="n"/>
      <c r="AC476" s="34" t="n"/>
      <c r="AD476" s="34" t="n"/>
      <c r="AE476" s="34" t="n"/>
      <c r="AF476" s="34" t="n"/>
      <c r="AG476" s="34" t="n"/>
      <c r="AH476" s="34" t="n"/>
      <c r="AI476" s="34" t="n"/>
    </row>
    <row r="477" ht="14.25" customHeight="1" s="35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  <c r="AA477" s="34" t="n"/>
      <c r="AB477" s="34" t="n"/>
      <c r="AC477" s="34" t="n"/>
      <c r="AD477" s="34" t="n"/>
      <c r="AE477" s="34" t="n"/>
      <c r="AF477" s="34" t="n"/>
      <c r="AG477" s="34" t="n"/>
      <c r="AH477" s="34" t="n"/>
      <c r="AI477" s="34" t="n"/>
    </row>
    <row r="478" ht="14.25" customHeight="1" s="35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  <c r="AA478" s="34" t="n"/>
      <c r="AB478" s="34" t="n"/>
      <c r="AC478" s="34" t="n"/>
      <c r="AD478" s="34" t="n"/>
      <c r="AE478" s="34" t="n"/>
      <c r="AF478" s="34" t="n"/>
      <c r="AG478" s="34" t="n"/>
      <c r="AH478" s="34" t="n"/>
      <c r="AI478" s="34" t="n"/>
    </row>
    <row r="479" ht="14.25" customHeight="1" s="35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  <c r="AA479" s="34" t="n"/>
      <c r="AB479" s="34" t="n"/>
      <c r="AC479" s="34" t="n"/>
      <c r="AD479" s="34" t="n"/>
      <c r="AE479" s="34" t="n"/>
      <c r="AF479" s="34" t="n"/>
      <c r="AG479" s="34" t="n"/>
      <c r="AH479" s="34" t="n"/>
      <c r="AI479" s="34" t="n"/>
    </row>
    <row r="480" ht="14.25" customHeight="1" s="35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  <c r="AA480" s="34" t="n"/>
      <c r="AB480" s="34" t="n"/>
      <c r="AC480" s="34" t="n"/>
      <c r="AD480" s="34" t="n"/>
      <c r="AE480" s="34" t="n"/>
      <c r="AF480" s="34" t="n"/>
      <c r="AG480" s="34" t="n"/>
      <c r="AH480" s="34" t="n"/>
      <c r="AI480" s="34" t="n"/>
    </row>
    <row r="481" ht="14.25" customHeight="1" s="35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  <c r="AA481" s="34" t="n"/>
      <c r="AB481" s="34" t="n"/>
      <c r="AC481" s="34" t="n"/>
      <c r="AD481" s="34" t="n"/>
      <c r="AE481" s="34" t="n"/>
      <c r="AF481" s="34" t="n"/>
      <c r="AG481" s="34" t="n"/>
      <c r="AH481" s="34" t="n"/>
      <c r="AI481" s="34" t="n"/>
    </row>
    <row r="482" ht="14.25" customHeight="1" s="35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  <c r="AA482" s="34" t="n"/>
      <c r="AB482" s="34" t="n"/>
      <c r="AC482" s="34" t="n"/>
      <c r="AD482" s="34" t="n"/>
      <c r="AE482" s="34" t="n"/>
      <c r="AF482" s="34" t="n"/>
      <c r="AG482" s="34" t="n"/>
      <c r="AH482" s="34" t="n"/>
      <c r="AI482" s="34" t="n"/>
    </row>
    <row r="483" ht="14.25" customHeight="1" s="35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  <c r="AA483" s="34" t="n"/>
      <c r="AB483" s="34" t="n"/>
      <c r="AC483" s="34" t="n"/>
      <c r="AD483" s="34" t="n"/>
      <c r="AE483" s="34" t="n"/>
      <c r="AF483" s="34" t="n"/>
      <c r="AG483" s="34" t="n"/>
      <c r="AH483" s="34" t="n"/>
      <c r="AI483" s="34" t="n"/>
    </row>
    <row r="484" ht="14.25" customHeight="1" s="35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  <c r="AA484" s="34" t="n"/>
      <c r="AB484" s="34" t="n"/>
      <c r="AC484" s="34" t="n"/>
      <c r="AD484" s="34" t="n"/>
      <c r="AE484" s="34" t="n"/>
      <c r="AF484" s="34" t="n"/>
      <c r="AG484" s="34" t="n"/>
      <c r="AH484" s="34" t="n"/>
      <c r="AI484" s="34" t="n"/>
    </row>
    <row r="485" ht="14.25" customHeight="1" s="3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  <c r="AA485" s="34" t="n"/>
      <c r="AB485" s="34" t="n"/>
      <c r="AC485" s="34" t="n"/>
      <c r="AD485" s="34" t="n"/>
      <c r="AE485" s="34" t="n"/>
      <c r="AF485" s="34" t="n"/>
      <c r="AG485" s="34" t="n"/>
      <c r="AH485" s="34" t="n"/>
      <c r="AI485" s="34" t="n"/>
    </row>
    <row r="486" ht="14.25" customHeight="1" s="35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  <c r="AA486" s="34" t="n"/>
      <c r="AB486" s="34" t="n"/>
      <c r="AC486" s="34" t="n"/>
      <c r="AD486" s="34" t="n"/>
      <c r="AE486" s="34" t="n"/>
      <c r="AF486" s="34" t="n"/>
      <c r="AG486" s="34" t="n"/>
      <c r="AH486" s="34" t="n"/>
      <c r="AI486" s="34" t="n"/>
    </row>
    <row r="487" ht="14.25" customHeight="1" s="35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  <c r="AA487" s="34" t="n"/>
      <c r="AB487" s="34" t="n"/>
      <c r="AC487" s="34" t="n"/>
      <c r="AD487" s="34" t="n"/>
      <c r="AE487" s="34" t="n"/>
      <c r="AF487" s="34" t="n"/>
      <c r="AG487" s="34" t="n"/>
      <c r="AH487" s="34" t="n"/>
      <c r="AI487" s="34" t="n"/>
    </row>
    <row r="488" ht="14.25" customHeight="1" s="35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  <c r="AA488" s="34" t="n"/>
      <c r="AB488" s="34" t="n"/>
      <c r="AC488" s="34" t="n"/>
      <c r="AD488" s="34" t="n"/>
      <c r="AE488" s="34" t="n"/>
      <c r="AF488" s="34" t="n"/>
      <c r="AG488" s="34" t="n"/>
      <c r="AH488" s="34" t="n"/>
      <c r="AI488" s="34" t="n"/>
    </row>
    <row r="489" ht="14.25" customHeight="1" s="35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  <c r="AA489" s="34" t="n"/>
      <c r="AB489" s="34" t="n"/>
      <c r="AC489" s="34" t="n"/>
      <c r="AD489" s="34" t="n"/>
      <c r="AE489" s="34" t="n"/>
      <c r="AF489" s="34" t="n"/>
      <c r="AG489" s="34" t="n"/>
      <c r="AH489" s="34" t="n"/>
      <c r="AI489" s="34" t="n"/>
    </row>
    <row r="490" ht="14.25" customHeight="1" s="35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  <c r="AA490" s="34" t="n"/>
      <c r="AB490" s="34" t="n"/>
      <c r="AC490" s="34" t="n"/>
      <c r="AD490" s="34" t="n"/>
      <c r="AE490" s="34" t="n"/>
      <c r="AF490" s="34" t="n"/>
      <c r="AG490" s="34" t="n"/>
      <c r="AH490" s="34" t="n"/>
      <c r="AI490" s="34" t="n"/>
    </row>
    <row r="491" ht="14.25" customHeight="1" s="35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  <c r="AA491" s="34" t="n"/>
      <c r="AB491" s="34" t="n"/>
      <c r="AC491" s="34" t="n"/>
      <c r="AD491" s="34" t="n"/>
      <c r="AE491" s="34" t="n"/>
      <c r="AF491" s="34" t="n"/>
      <c r="AG491" s="34" t="n"/>
      <c r="AH491" s="34" t="n"/>
      <c r="AI491" s="34" t="n"/>
    </row>
    <row r="492" ht="14.25" customHeight="1" s="35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  <c r="AA492" s="34" t="n"/>
      <c r="AB492" s="34" t="n"/>
      <c r="AC492" s="34" t="n"/>
      <c r="AD492" s="34" t="n"/>
      <c r="AE492" s="34" t="n"/>
      <c r="AF492" s="34" t="n"/>
      <c r="AG492" s="34" t="n"/>
      <c r="AH492" s="34" t="n"/>
      <c r="AI492" s="34" t="n"/>
    </row>
    <row r="493" ht="14.25" customHeight="1" s="35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  <c r="AA493" s="34" t="n"/>
      <c r="AB493" s="34" t="n"/>
      <c r="AC493" s="34" t="n"/>
      <c r="AD493" s="34" t="n"/>
      <c r="AE493" s="34" t="n"/>
      <c r="AF493" s="34" t="n"/>
      <c r="AG493" s="34" t="n"/>
      <c r="AH493" s="34" t="n"/>
      <c r="AI493" s="34" t="n"/>
    </row>
    <row r="494" ht="14.25" customHeight="1" s="35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  <c r="AA494" s="34" t="n"/>
      <c r="AB494" s="34" t="n"/>
      <c r="AC494" s="34" t="n"/>
      <c r="AD494" s="34" t="n"/>
      <c r="AE494" s="34" t="n"/>
      <c r="AF494" s="34" t="n"/>
      <c r="AG494" s="34" t="n"/>
      <c r="AH494" s="34" t="n"/>
      <c r="AI494" s="34" t="n"/>
    </row>
    <row r="495" ht="14.25" customHeight="1" s="3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  <c r="AA495" s="34" t="n"/>
      <c r="AB495" s="34" t="n"/>
      <c r="AC495" s="34" t="n"/>
      <c r="AD495" s="34" t="n"/>
      <c r="AE495" s="34" t="n"/>
      <c r="AF495" s="34" t="n"/>
      <c r="AG495" s="34" t="n"/>
      <c r="AH495" s="34" t="n"/>
      <c r="AI495" s="34" t="n"/>
    </row>
    <row r="496" ht="14.25" customHeight="1" s="35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  <c r="AA496" s="34" t="n"/>
      <c r="AB496" s="34" t="n"/>
      <c r="AC496" s="34" t="n"/>
      <c r="AD496" s="34" t="n"/>
      <c r="AE496" s="34" t="n"/>
      <c r="AF496" s="34" t="n"/>
      <c r="AG496" s="34" t="n"/>
      <c r="AH496" s="34" t="n"/>
      <c r="AI496" s="34" t="n"/>
    </row>
    <row r="497" ht="14.25" customHeight="1" s="35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  <c r="AA497" s="34" t="n"/>
      <c r="AB497" s="34" t="n"/>
      <c r="AC497" s="34" t="n"/>
      <c r="AD497" s="34" t="n"/>
      <c r="AE497" s="34" t="n"/>
      <c r="AF497" s="34" t="n"/>
      <c r="AG497" s="34" t="n"/>
      <c r="AH497" s="34" t="n"/>
      <c r="AI497" s="34" t="n"/>
    </row>
    <row r="498" ht="14.25" customHeight="1" s="35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  <c r="AA498" s="34" t="n"/>
      <c r="AB498" s="34" t="n"/>
      <c r="AC498" s="34" t="n"/>
      <c r="AD498" s="34" t="n"/>
      <c r="AE498" s="34" t="n"/>
      <c r="AF498" s="34" t="n"/>
      <c r="AG498" s="34" t="n"/>
      <c r="AH498" s="34" t="n"/>
      <c r="AI498" s="34" t="n"/>
    </row>
    <row r="499" ht="14.25" customHeight="1" s="35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  <c r="AA499" s="34" t="n"/>
      <c r="AB499" s="34" t="n"/>
      <c r="AC499" s="34" t="n"/>
      <c r="AD499" s="34" t="n"/>
      <c r="AE499" s="34" t="n"/>
      <c r="AF499" s="34" t="n"/>
      <c r="AG499" s="34" t="n"/>
      <c r="AH499" s="34" t="n"/>
      <c r="AI499" s="34" t="n"/>
    </row>
    <row r="500" ht="14.25" customHeight="1" s="35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  <c r="AA500" s="34" t="n"/>
      <c r="AB500" s="34" t="n"/>
      <c r="AC500" s="34" t="n"/>
      <c r="AD500" s="34" t="n"/>
      <c r="AE500" s="34" t="n"/>
      <c r="AF500" s="34" t="n"/>
      <c r="AG500" s="34" t="n"/>
      <c r="AH500" s="34" t="n"/>
      <c r="AI500" s="34" t="n"/>
    </row>
    <row r="501" ht="14.25" customHeight="1" s="35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  <c r="AA501" s="34" t="n"/>
      <c r="AB501" s="34" t="n"/>
      <c r="AC501" s="34" t="n"/>
      <c r="AD501" s="34" t="n"/>
      <c r="AE501" s="34" t="n"/>
      <c r="AF501" s="34" t="n"/>
      <c r="AG501" s="34" t="n"/>
      <c r="AH501" s="34" t="n"/>
      <c r="AI501" s="34" t="n"/>
    </row>
    <row r="502" ht="14.25" customHeight="1" s="35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  <c r="AA502" s="34" t="n"/>
      <c r="AB502" s="34" t="n"/>
      <c r="AC502" s="34" t="n"/>
      <c r="AD502" s="34" t="n"/>
      <c r="AE502" s="34" t="n"/>
      <c r="AF502" s="34" t="n"/>
      <c r="AG502" s="34" t="n"/>
      <c r="AH502" s="34" t="n"/>
      <c r="AI502" s="34" t="n"/>
    </row>
    <row r="503" ht="14.25" customHeight="1" s="35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  <c r="AA503" s="34" t="n"/>
      <c r="AB503" s="34" t="n"/>
      <c r="AC503" s="34" t="n"/>
      <c r="AD503" s="34" t="n"/>
      <c r="AE503" s="34" t="n"/>
      <c r="AF503" s="34" t="n"/>
      <c r="AG503" s="34" t="n"/>
      <c r="AH503" s="34" t="n"/>
      <c r="AI503" s="34" t="n"/>
    </row>
    <row r="504" ht="14.25" customHeight="1" s="35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  <c r="AA504" s="34" t="n"/>
      <c r="AB504" s="34" t="n"/>
      <c r="AC504" s="34" t="n"/>
      <c r="AD504" s="34" t="n"/>
      <c r="AE504" s="34" t="n"/>
      <c r="AF504" s="34" t="n"/>
      <c r="AG504" s="34" t="n"/>
      <c r="AH504" s="34" t="n"/>
      <c r="AI504" s="34" t="n"/>
    </row>
    <row r="505" ht="14.25" customHeight="1" s="3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  <c r="AA505" s="34" t="n"/>
      <c r="AB505" s="34" t="n"/>
      <c r="AC505" s="34" t="n"/>
      <c r="AD505" s="34" t="n"/>
      <c r="AE505" s="34" t="n"/>
      <c r="AF505" s="34" t="n"/>
      <c r="AG505" s="34" t="n"/>
      <c r="AH505" s="34" t="n"/>
      <c r="AI505" s="34" t="n"/>
    </row>
    <row r="506" ht="14.25" customHeight="1" s="35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  <c r="AA506" s="34" t="n"/>
      <c r="AB506" s="34" t="n"/>
      <c r="AC506" s="34" t="n"/>
      <c r="AD506" s="34" t="n"/>
      <c r="AE506" s="34" t="n"/>
      <c r="AF506" s="34" t="n"/>
      <c r="AG506" s="34" t="n"/>
      <c r="AH506" s="34" t="n"/>
      <c r="AI506" s="34" t="n"/>
    </row>
    <row r="507" ht="14.25" customHeight="1" s="35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  <c r="AA507" s="34" t="n"/>
      <c r="AB507" s="34" t="n"/>
      <c r="AC507" s="34" t="n"/>
      <c r="AD507" s="34" t="n"/>
      <c r="AE507" s="34" t="n"/>
      <c r="AF507" s="34" t="n"/>
      <c r="AG507" s="34" t="n"/>
      <c r="AH507" s="34" t="n"/>
      <c r="AI507" s="34" t="n"/>
    </row>
    <row r="508" ht="14.25" customHeight="1" s="35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  <c r="AA508" s="34" t="n"/>
      <c r="AB508" s="34" t="n"/>
      <c r="AC508" s="34" t="n"/>
      <c r="AD508" s="34" t="n"/>
      <c r="AE508" s="34" t="n"/>
      <c r="AF508" s="34" t="n"/>
      <c r="AG508" s="34" t="n"/>
      <c r="AH508" s="34" t="n"/>
      <c r="AI508" s="34" t="n"/>
    </row>
    <row r="509" ht="14.25" customHeight="1" s="35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  <c r="AA509" s="34" t="n"/>
      <c r="AB509" s="34" t="n"/>
      <c r="AC509" s="34" t="n"/>
      <c r="AD509" s="34" t="n"/>
      <c r="AE509" s="34" t="n"/>
      <c r="AF509" s="34" t="n"/>
      <c r="AG509" s="34" t="n"/>
      <c r="AH509" s="34" t="n"/>
      <c r="AI509" s="34" t="n"/>
    </row>
    <row r="510" ht="14.25" customHeight="1" s="35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  <c r="AA510" s="34" t="n"/>
      <c r="AB510" s="34" t="n"/>
      <c r="AC510" s="34" t="n"/>
      <c r="AD510" s="34" t="n"/>
      <c r="AE510" s="34" t="n"/>
      <c r="AF510" s="34" t="n"/>
      <c r="AG510" s="34" t="n"/>
      <c r="AH510" s="34" t="n"/>
      <c r="AI510" s="34" t="n"/>
    </row>
    <row r="511" ht="14.25" customHeight="1" s="35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  <c r="AA511" s="34" t="n"/>
      <c r="AB511" s="34" t="n"/>
      <c r="AC511" s="34" t="n"/>
      <c r="AD511" s="34" t="n"/>
      <c r="AE511" s="34" t="n"/>
      <c r="AF511" s="34" t="n"/>
      <c r="AG511" s="34" t="n"/>
      <c r="AH511" s="34" t="n"/>
      <c r="AI511" s="34" t="n"/>
    </row>
    <row r="512" ht="14.25" customHeight="1" s="35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  <c r="AA512" s="34" t="n"/>
      <c r="AB512" s="34" t="n"/>
      <c r="AC512" s="34" t="n"/>
      <c r="AD512" s="34" t="n"/>
      <c r="AE512" s="34" t="n"/>
      <c r="AF512" s="34" t="n"/>
      <c r="AG512" s="34" t="n"/>
      <c r="AH512" s="34" t="n"/>
      <c r="AI512" s="34" t="n"/>
    </row>
    <row r="513" ht="14.25" customHeight="1" s="35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  <c r="AA513" s="34" t="n"/>
      <c r="AB513" s="34" t="n"/>
      <c r="AC513" s="34" t="n"/>
      <c r="AD513" s="34" t="n"/>
      <c r="AE513" s="34" t="n"/>
      <c r="AF513" s="34" t="n"/>
      <c r="AG513" s="34" t="n"/>
      <c r="AH513" s="34" t="n"/>
      <c r="AI513" s="34" t="n"/>
    </row>
    <row r="514" ht="14.25" customHeight="1" s="35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  <c r="AA514" s="34" t="n"/>
      <c r="AB514" s="34" t="n"/>
      <c r="AC514" s="34" t="n"/>
      <c r="AD514" s="34" t="n"/>
      <c r="AE514" s="34" t="n"/>
      <c r="AF514" s="34" t="n"/>
      <c r="AG514" s="34" t="n"/>
      <c r="AH514" s="34" t="n"/>
      <c r="AI514" s="34" t="n"/>
    </row>
    <row r="515" ht="14.25" customHeight="1" s="3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  <c r="AA515" s="34" t="n"/>
      <c r="AB515" s="34" t="n"/>
      <c r="AC515" s="34" t="n"/>
      <c r="AD515" s="34" t="n"/>
      <c r="AE515" s="34" t="n"/>
      <c r="AF515" s="34" t="n"/>
      <c r="AG515" s="34" t="n"/>
      <c r="AH515" s="34" t="n"/>
      <c r="AI515" s="34" t="n"/>
    </row>
    <row r="516" ht="14.25" customHeight="1" s="35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  <c r="AA516" s="34" t="n"/>
      <c r="AB516" s="34" t="n"/>
      <c r="AC516" s="34" t="n"/>
      <c r="AD516" s="34" t="n"/>
      <c r="AE516" s="34" t="n"/>
      <c r="AF516" s="34" t="n"/>
      <c r="AG516" s="34" t="n"/>
      <c r="AH516" s="34" t="n"/>
      <c r="AI516" s="34" t="n"/>
    </row>
    <row r="517" ht="14.25" customHeight="1" s="35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  <c r="AA517" s="34" t="n"/>
      <c r="AB517" s="34" t="n"/>
      <c r="AC517" s="34" t="n"/>
      <c r="AD517" s="34" t="n"/>
      <c r="AE517" s="34" t="n"/>
      <c r="AF517" s="34" t="n"/>
      <c r="AG517" s="34" t="n"/>
      <c r="AH517" s="34" t="n"/>
      <c r="AI517" s="34" t="n"/>
    </row>
    <row r="518" ht="14.25" customHeight="1" s="35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  <c r="AA518" s="34" t="n"/>
      <c r="AB518" s="34" t="n"/>
      <c r="AC518" s="34" t="n"/>
      <c r="AD518" s="34" t="n"/>
      <c r="AE518" s="34" t="n"/>
      <c r="AF518" s="34" t="n"/>
      <c r="AG518" s="34" t="n"/>
      <c r="AH518" s="34" t="n"/>
      <c r="AI518" s="34" t="n"/>
    </row>
    <row r="519" ht="14.25" customHeight="1" s="35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  <c r="AA519" s="34" t="n"/>
      <c r="AB519" s="34" t="n"/>
      <c r="AC519" s="34" t="n"/>
      <c r="AD519" s="34" t="n"/>
      <c r="AE519" s="34" t="n"/>
      <c r="AF519" s="34" t="n"/>
      <c r="AG519" s="34" t="n"/>
      <c r="AH519" s="34" t="n"/>
      <c r="AI519" s="34" t="n"/>
    </row>
    <row r="520" ht="14.25" customHeight="1" s="35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  <c r="AA520" s="34" t="n"/>
      <c r="AB520" s="34" t="n"/>
      <c r="AC520" s="34" t="n"/>
      <c r="AD520" s="34" t="n"/>
      <c r="AE520" s="34" t="n"/>
      <c r="AF520" s="34" t="n"/>
      <c r="AG520" s="34" t="n"/>
      <c r="AH520" s="34" t="n"/>
      <c r="AI520" s="34" t="n"/>
    </row>
    <row r="521" ht="14.25" customHeight="1" s="35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  <c r="AA521" s="34" t="n"/>
      <c r="AB521" s="34" t="n"/>
      <c r="AC521" s="34" t="n"/>
      <c r="AD521" s="34" t="n"/>
      <c r="AE521" s="34" t="n"/>
      <c r="AF521" s="34" t="n"/>
      <c r="AG521" s="34" t="n"/>
      <c r="AH521" s="34" t="n"/>
      <c r="AI521" s="34" t="n"/>
    </row>
    <row r="522" ht="14.25" customHeight="1" s="35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  <c r="AA522" s="34" t="n"/>
      <c r="AB522" s="34" t="n"/>
      <c r="AC522" s="34" t="n"/>
      <c r="AD522" s="34" t="n"/>
      <c r="AE522" s="34" t="n"/>
      <c r="AF522" s="34" t="n"/>
      <c r="AG522" s="34" t="n"/>
      <c r="AH522" s="34" t="n"/>
      <c r="AI522" s="34" t="n"/>
    </row>
    <row r="523" ht="14.25" customHeight="1" s="35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  <c r="AA523" s="34" t="n"/>
      <c r="AB523" s="34" t="n"/>
      <c r="AC523" s="34" t="n"/>
      <c r="AD523" s="34" t="n"/>
      <c r="AE523" s="34" t="n"/>
      <c r="AF523" s="34" t="n"/>
      <c r="AG523" s="34" t="n"/>
      <c r="AH523" s="34" t="n"/>
      <c r="AI523" s="34" t="n"/>
    </row>
    <row r="524" ht="14.25" customHeight="1" s="35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  <c r="AA524" s="34" t="n"/>
      <c r="AB524" s="34" t="n"/>
      <c r="AC524" s="34" t="n"/>
      <c r="AD524" s="34" t="n"/>
      <c r="AE524" s="34" t="n"/>
      <c r="AF524" s="34" t="n"/>
      <c r="AG524" s="34" t="n"/>
      <c r="AH524" s="34" t="n"/>
      <c r="AI524" s="34" t="n"/>
    </row>
    <row r="525" ht="14.25" customHeight="1" s="3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  <c r="AA525" s="34" t="n"/>
      <c r="AB525" s="34" t="n"/>
      <c r="AC525" s="34" t="n"/>
      <c r="AD525" s="34" t="n"/>
      <c r="AE525" s="34" t="n"/>
      <c r="AF525" s="34" t="n"/>
      <c r="AG525" s="34" t="n"/>
      <c r="AH525" s="34" t="n"/>
      <c r="AI525" s="34" t="n"/>
    </row>
    <row r="526" ht="14.25" customHeight="1" s="35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  <c r="AA526" s="34" t="n"/>
      <c r="AB526" s="34" t="n"/>
      <c r="AC526" s="34" t="n"/>
      <c r="AD526" s="34" t="n"/>
      <c r="AE526" s="34" t="n"/>
      <c r="AF526" s="34" t="n"/>
      <c r="AG526" s="34" t="n"/>
      <c r="AH526" s="34" t="n"/>
      <c r="AI526" s="34" t="n"/>
    </row>
    <row r="527" ht="14.25" customHeight="1" s="35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  <c r="AA527" s="34" t="n"/>
      <c r="AB527" s="34" t="n"/>
      <c r="AC527" s="34" t="n"/>
      <c r="AD527" s="34" t="n"/>
      <c r="AE527" s="34" t="n"/>
      <c r="AF527" s="34" t="n"/>
      <c r="AG527" s="34" t="n"/>
      <c r="AH527" s="34" t="n"/>
      <c r="AI527" s="34" t="n"/>
    </row>
    <row r="528" ht="14.25" customHeight="1" s="35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  <c r="AA528" s="34" t="n"/>
      <c r="AB528" s="34" t="n"/>
      <c r="AC528" s="34" t="n"/>
      <c r="AD528" s="34" t="n"/>
      <c r="AE528" s="34" t="n"/>
      <c r="AF528" s="34" t="n"/>
      <c r="AG528" s="34" t="n"/>
      <c r="AH528" s="34" t="n"/>
      <c r="AI528" s="34" t="n"/>
    </row>
    <row r="529" ht="14.25" customHeight="1" s="35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  <c r="AA529" s="34" t="n"/>
      <c r="AB529" s="34" t="n"/>
      <c r="AC529" s="34" t="n"/>
      <c r="AD529" s="34" t="n"/>
      <c r="AE529" s="34" t="n"/>
      <c r="AF529" s="34" t="n"/>
      <c r="AG529" s="34" t="n"/>
      <c r="AH529" s="34" t="n"/>
      <c r="AI529" s="34" t="n"/>
    </row>
    <row r="530" ht="14.25" customHeight="1" s="35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  <c r="AA530" s="34" t="n"/>
      <c r="AB530" s="34" t="n"/>
      <c r="AC530" s="34" t="n"/>
      <c r="AD530" s="34" t="n"/>
      <c r="AE530" s="34" t="n"/>
      <c r="AF530" s="34" t="n"/>
      <c r="AG530" s="34" t="n"/>
      <c r="AH530" s="34" t="n"/>
      <c r="AI530" s="34" t="n"/>
    </row>
    <row r="531" ht="14.25" customHeight="1" s="35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  <c r="AA531" s="34" t="n"/>
      <c r="AB531" s="34" t="n"/>
      <c r="AC531" s="34" t="n"/>
      <c r="AD531" s="34" t="n"/>
      <c r="AE531" s="34" t="n"/>
      <c r="AF531" s="34" t="n"/>
      <c r="AG531" s="34" t="n"/>
      <c r="AH531" s="34" t="n"/>
      <c r="AI531" s="34" t="n"/>
    </row>
    <row r="532" ht="14.25" customHeight="1" s="35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  <c r="AA532" s="34" t="n"/>
      <c r="AB532" s="34" t="n"/>
      <c r="AC532" s="34" t="n"/>
      <c r="AD532" s="34" t="n"/>
      <c r="AE532" s="34" t="n"/>
      <c r="AF532" s="34" t="n"/>
      <c r="AG532" s="34" t="n"/>
      <c r="AH532" s="34" t="n"/>
      <c r="AI532" s="34" t="n"/>
    </row>
    <row r="533" ht="14.25" customHeight="1" s="35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  <c r="AA533" s="34" t="n"/>
      <c r="AB533" s="34" t="n"/>
      <c r="AC533" s="34" t="n"/>
      <c r="AD533" s="34" t="n"/>
      <c r="AE533" s="34" t="n"/>
      <c r="AF533" s="34" t="n"/>
      <c r="AG533" s="34" t="n"/>
      <c r="AH533" s="34" t="n"/>
      <c r="AI533" s="34" t="n"/>
    </row>
    <row r="534" ht="14.25" customHeight="1" s="35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  <c r="AA534" s="34" t="n"/>
      <c r="AB534" s="34" t="n"/>
      <c r="AC534" s="34" t="n"/>
      <c r="AD534" s="34" t="n"/>
      <c r="AE534" s="34" t="n"/>
      <c r="AF534" s="34" t="n"/>
      <c r="AG534" s="34" t="n"/>
      <c r="AH534" s="34" t="n"/>
      <c r="AI534" s="34" t="n"/>
    </row>
    <row r="535" ht="14.25" customHeight="1" s="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  <c r="AA535" s="34" t="n"/>
      <c r="AB535" s="34" t="n"/>
      <c r="AC535" s="34" t="n"/>
      <c r="AD535" s="34" t="n"/>
      <c r="AE535" s="34" t="n"/>
      <c r="AF535" s="34" t="n"/>
      <c r="AG535" s="34" t="n"/>
      <c r="AH535" s="34" t="n"/>
      <c r="AI535" s="34" t="n"/>
    </row>
    <row r="536" ht="14.25" customHeight="1" s="35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  <c r="AA536" s="34" t="n"/>
      <c r="AB536" s="34" t="n"/>
      <c r="AC536" s="34" t="n"/>
      <c r="AD536" s="34" t="n"/>
      <c r="AE536" s="34" t="n"/>
      <c r="AF536" s="34" t="n"/>
      <c r="AG536" s="34" t="n"/>
      <c r="AH536" s="34" t="n"/>
      <c r="AI536" s="34" t="n"/>
    </row>
    <row r="537" ht="14.25" customHeight="1" s="35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  <c r="AA537" s="34" t="n"/>
      <c r="AB537" s="34" t="n"/>
      <c r="AC537" s="34" t="n"/>
      <c r="AD537" s="34" t="n"/>
      <c r="AE537" s="34" t="n"/>
      <c r="AF537" s="34" t="n"/>
      <c r="AG537" s="34" t="n"/>
      <c r="AH537" s="34" t="n"/>
      <c r="AI537" s="34" t="n"/>
    </row>
    <row r="538" ht="14.25" customHeight="1" s="35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  <c r="AA538" s="34" t="n"/>
      <c r="AB538" s="34" t="n"/>
      <c r="AC538" s="34" t="n"/>
      <c r="AD538" s="34" t="n"/>
      <c r="AE538" s="34" t="n"/>
      <c r="AF538" s="34" t="n"/>
      <c r="AG538" s="34" t="n"/>
      <c r="AH538" s="34" t="n"/>
      <c r="AI538" s="34" t="n"/>
    </row>
    <row r="539" ht="14.25" customHeight="1" s="35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  <c r="AA539" s="34" t="n"/>
      <c r="AB539" s="34" t="n"/>
      <c r="AC539" s="34" t="n"/>
      <c r="AD539" s="34" t="n"/>
      <c r="AE539" s="34" t="n"/>
      <c r="AF539" s="34" t="n"/>
      <c r="AG539" s="34" t="n"/>
      <c r="AH539" s="34" t="n"/>
      <c r="AI539" s="34" t="n"/>
    </row>
    <row r="540" ht="14.25" customHeight="1" s="35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  <c r="AA540" s="34" t="n"/>
      <c r="AB540" s="34" t="n"/>
      <c r="AC540" s="34" t="n"/>
      <c r="AD540" s="34" t="n"/>
      <c r="AE540" s="34" t="n"/>
      <c r="AF540" s="34" t="n"/>
      <c r="AG540" s="34" t="n"/>
      <c r="AH540" s="34" t="n"/>
      <c r="AI540" s="34" t="n"/>
    </row>
    <row r="541" ht="14.25" customHeight="1" s="35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  <c r="AA541" s="34" t="n"/>
      <c r="AB541" s="34" t="n"/>
      <c r="AC541" s="34" t="n"/>
      <c r="AD541" s="34" t="n"/>
      <c r="AE541" s="34" t="n"/>
      <c r="AF541" s="34" t="n"/>
      <c r="AG541" s="34" t="n"/>
      <c r="AH541" s="34" t="n"/>
      <c r="AI541" s="34" t="n"/>
    </row>
    <row r="542" ht="14.25" customHeight="1" s="35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  <c r="AA542" s="34" t="n"/>
      <c r="AB542" s="34" t="n"/>
      <c r="AC542" s="34" t="n"/>
      <c r="AD542" s="34" t="n"/>
      <c r="AE542" s="34" t="n"/>
      <c r="AF542" s="34" t="n"/>
      <c r="AG542" s="34" t="n"/>
      <c r="AH542" s="34" t="n"/>
      <c r="AI542" s="34" t="n"/>
    </row>
    <row r="543" ht="14.25" customHeight="1" s="35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  <c r="AA543" s="34" t="n"/>
      <c r="AB543" s="34" t="n"/>
      <c r="AC543" s="34" t="n"/>
      <c r="AD543" s="34" t="n"/>
      <c r="AE543" s="34" t="n"/>
      <c r="AF543" s="34" t="n"/>
      <c r="AG543" s="34" t="n"/>
      <c r="AH543" s="34" t="n"/>
      <c r="AI543" s="34" t="n"/>
    </row>
    <row r="544" ht="14.25" customHeight="1" s="35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  <c r="AA544" s="34" t="n"/>
      <c r="AB544" s="34" t="n"/>
      <c r="AC544" s="34" t="n"/>
      <c r="AD544" s="34" t="n"/>
      <c r="AE544" s="34" t="n"/>
      <c r="AF544" s="34" t="n"/>
      <c r="AG544" s="34" t="n"/>
      <c r="AH544" s="34" t="n"/>
      <c r="AI544" s="34" t="n"/>
    </row>
    <row r="545" ht="14.25" customHeight="1" s="3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  <c r="AA545" s="34" t="n"/>
      <c r="AB545" s="34" t="n"/>
      <c r="AC545" s="34" t="n"/>
      <c r="AD545" s="34" t="n"/>
      <c r="AE545" s="34" t="n"/>
      <c r="AF545" s="34" t="n"/>
      <c r="AG545" s="34" t="n"/>
      <c r="AH545" s="34" t="n"/>
      <c r="AI545" s="34" t="n"/>
    </row>
    <row r="546" ht="14.25" customHeight="1" s="35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  <c r="AA546" s="34" t="n"/>
      <c r="AB546" s="34" t="n"/>
      <c r="AC546" s="34" t="n"/>
      <c r="AD546" s="34" t="n"/>
      <c r="AE546" s="34" t="n"/>
      <c r="AF546" s="34" t="n"/>
      <c r="AG546" s="34" t="n"/>
      <c r="AH546" s="34" t="n"/>
      <c r="AI546" s="34" t="n"/>
    </row>
    <row r="547" ht="14.25" customHeight="1" s="35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  <c r="AA547" s="34" t="n"/>
      <c r="AB547" s="34" t="n"/>
      <c r="AC547" s="34" t="n"/>
      <c r="AD547" s="34" t="n"/>
      <c r="AE547" s="34" t="n"/>
      <c r="AF547" s="34" t="n"/>
      <c r="AG547" s="34" t="n"/>
      <c r="AH547" s="34" t="n"/>
      <c r="AI547" s="34" t="n"/>
    </row>
    <row r="548" ht="14.25" customHeight="1" s="35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  <c r="AA548" s="34" t="n"/>
      <c r="AB548" s="34" t="n"/>
      <c r="AC548" s="34" t="n"/>
      <c r="AD548" s="34" t="n"/>
      <c r="AE548" s="34" t="n"/>
      <c r="AF548" s="34" t="n"/>
      <c r="AG548" s="34" t="n"/>
      <c r="AH548" s="34" t="n"/>
      <c r="AI548" s="34" t="n"/>
    </row>
    <row r="549" ht="14.25" customHeight="1" s="35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  <c r="AA549" s="34" t="n"/>
      <c r="AB549" s="34" t="n"/>
      <c r="AC549" s="34" t="n"/>
      <c r="AD549" s="34" t="n"/>
      <c r="AE549" s="34" t="n"/>
      <c r="AF549" s="34" t="n"/>
      <c r="AG549" s="34" t="n"/>
      <c r="AH549" s="34" t="n"/>
      <c r="AI549" s="34" t="n"/>
    </row>
    <row r="550" ht="14.25" customHeight="1" s="35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  <c r="AA550" s="34" t="n"/>
      <c r="AB550" s="34" t="n"/>
      <c r="AC550" s="34" t="n"/>
      <c r="AD550" s="34" t="n"/>
      <c r="AE550" s="34" t="n"/>
      <c r="AF550" s="34" t="n"/>
      <c r="AG550" s="34" t="n"/>
      <c r="AH550" s="34" t="n"/>
      <c r="AI550" s="34" t="n"/>
    </row>
    <row r="551" ht="14.25" customHeight="1" s="35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  <c r="AA551" s="34" t="n"/>
      <c r="AB551" s="34" t="n"/>
      <c r="AC551" s="34" t="n"/>
      <c r="AD551" s="34" t="n"/>
      <c r="AE551" s="34" t="n"/>
      <c r="AF551" s="34" t="n"/>
      <c r="AG551" s="34" t="n"/>
      <c r="AH551" s="34" t="n"/>
      <c r="AI551" s="34" t="n"/>
    </row>
    <row r="552" ht="14.25" customHeight="1" s="35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  <c r="AA552" s="34" t="n"/>
      <c r="AB552" s="34" t="n"/>
      <c r="AC552" s="34" t="n"/>
      <c r="AD552" s="34" t="n"/>
      <c r="AE552" s="34" t="n"/>
      <c r="AF552" s="34" t="n"/>
      <c r="AG552" s="34" t="n"/>
      <c r="AH552" s="34" t="n"/>
      <c r="AI552" s="34" t="n"/>
    </row>
    <row r="553" ht="14.25" customHeight="1" s="35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  <c r="AA553" s="34" t="n"/>
      <c r="AB553" s="34" t="n"/>
      <c r="AC553" s="34" t="n"/>
      <c r="AD553" s="34" t="n"/>
      <c r="AE553" s="34" t="n"/>
      <c r="AF553" s="34" t="n"/>
      <c r="AG553" s="34" t="n"/>
      <c r="AH553" s="34" t="n"/>
      <c r="AI553" s="34" t="n"/>
    </row>
    <row r="554" ht="14.25" customHeight="1" s="35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  <c r="AA554" s="34" t="n"/>
      <c r="AB554" s="34" t="n"/>
      <c r="AC554" s="34" t="n"/>
      <c r="AD554" s="34" t="n"/>
      <c r="AE554" s="34" t="n"/>
      <c r="AF554" s="34" t="n"/>
      <c r="AG554" s="34" t="n"/>
      <c r="AH554" s="34" t="n"/>
      <c r="AI554" s="34" t="n"/>
    </row>
    <row r="555" ht="14.25" customHeight="1" s="3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  <c r="AA555" s="34" t="n"/>
      <c r="AB555" s="34" t="n"/>
      <c r="AC555" s="34" t="n"/>
      <c r="AD555" s="34" t="n"/>
      <c r="AE555" s="34" t="n"/>
      <c r="AF555" s="34" t="n"/>
      <c r="AG555" s="34" t="n"/>
      <c r="AH555" s="34" t="n"/>
      <c r="AI555" s="34" t="n"/>
    </row>
    <row r="556" ht="14.25" customHeight="1" s="35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  <c r="AA556" s="34" t="n"/>
      <c r="AB556" s="34" t="n"/>
      <c r="AC556" s="34" t="n"/>
      <c r="AD556" s="34" t="n"/>
      <c r="AE556" s="34" t="n"/>
      <c r="AF556" s="34" t="n"/>
      <c r="AG556" s="34" t="n"/>
      <c r="AH556" s="34" t="n"/>
      <c r="AI556" s="34" t="n"/>
    </row>
    <row r="557" ht="14.25" customHeight="1" s="35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  <c r="AA557" s="34" t="n"/>
      <c r="AB557" s="34" t="n"/>
      <c r="AC557" s="34" t="n"/>
      <c r="AD557" s="34" t="n"/>
      <c r="AE557" s="34" t="n"/>
      <c r="AF557" s="34" t="n"/>
      <c r="AG557" s="34" t="n"/>
      <c r="AH557" s="34" t="n"/>
      <c r="AI557" s="34" t="n"/>
    </row>
    <row r="558" ht="14.25" customHeight="1" s="35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  <c r="AA558" s="34" t="n"/>
      <c r="AB558" s="34" t="n"/>
      <c r="AC558" s="34" t="n"/>
      <c r="AD558" s="34" t="n"/>
      <c r="AE558" s="34" t="n"/>
      <c r="AF558" s="34" t="n"/>
      <c r="AG558" s="34" t="n"/>
      <c r="AH558" s="34" t="n"/>
      <c r="AI558" s="34" t="n"/>
    </row>
    <row r="559" ht="14.25" customHeight="1" s="35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  <c r="AA559" s="34" t="n"/>
      <c r="AB559" s="34" t="n"/>
      <c r="AC559" s="34" t="n"/>
      <c r="AD559" s="34" t="n"/>
      <c r="AE559" s="34" t="n"/>
      <c r="AF559" s="34" t="n"/>
      <c r="AG559" s="34" t="n"/>
      <c r="AH559" s="34" t="n"/>
      <c r="AI559" s="34" t="n"/>
    </row>
    <row r="560" ht="14.25" customHeight="1" s="35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  <c r="AA560" s="34" t="n"/>
      <c r="AB560" s="34" t="n"/>
      <c r="AC560" s="34" t="n"/>
      <c r="AD560" s="34" t="n"/>
      <c r="AE560" s="34" t="n"/>
      <c r="AF560" s="34" t="n"/>
      <c r="AG560" s="34" t="n"/>
      <c r="AH560" s="34" t="n"/>
      <c r="AI560" s="34" t="n"/>
    </row>
    <row r="561" ht="14.25" customHeight="1" s="35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  <c r="AA561" s="34" t="n"/>
      <c r="AB561" s="34" t="n"/>
      <c r="AC561" s="34" t="n"/>
      <c r="AD561" s="34" t="n"/>
      <c r="AE561" s="34" t="n"/>
      <c r="AF561" s="34" t="n"/>
      <c r="AG561" s="34" t="n"/>
      <c r="AH561" s="34" t="n"/>
      <c r="AI561" s="34" t="n"/>
    </row>
    <row r="562" ht="14.25" customHeight="1" s="35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  <c r="AA562" s="34" t="n"/>
      <c r="AB562" s="34" t="n"/>
      <c r="AC562" s="34" t="n"/>
      <c r="AD562" s="34" t="n"/>
      <c r="AE562" s="34" t="n"/>
      <c r="AF562" s="34" t="n"/>
      <c r="AG562" s="34" t="n"/>
      <c r="AH562" s="34" t="n"/>
      <c r="AI562" s="34" t="n"/>
    </row>
    <row r="563" ht="14.25" customHeight="1" s="35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  <c r="AA563" s="34" t="n"/>
      <c r="AB563" s="34" t="n"/>
      <c r="AC563" s="34" t="n"/>
      <c r="AD563" s="34" t="n"/>
      <c r="AE563" s="34" t="n"/>
      <c r="AF563" s="34" t="n"/>
      <c r="AG563" s="34" t="n"/>
      <c r="AH563" s="34" t="n"/>
      <c r="AI563" s="34" t="n"/>
    </row>
    <row r="564" ht="14.25" customHeight="1" s="35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  <c r="AA564" s="34" t="n"/>
      <c r="AB564" s="34" t="n"/>
      <c r="AC564" s="34" t="n"/>
      <c r="AD564" s="34" t="n"/>
      <c r="AE564" s="34" t="n"/>
      <c r="AF564" s="34" t="n"/>
      <c r="AG564" s="34" t="n"/>
      <c r="AH564" s="34" t="n"/>
      <c r="AI564" s="34" t="n"/>
    </row>
    <row r="565" ht="14.25" customHeight="1" s="3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  <c r="AA565" s="34" t="n"/>
      <c r="AB565" s="34" t="n"/>
      <c r="AC565" s="34" t="n"/>
      <c r="AD565" s="34" t="n"/>
      <c r="AE565" s="34" t="n"/>
      <c r="AF565" s="34" t="n"/>
      <c r="AG565" s="34" t="n"/>
      <c r="AH565" s="34" t="n"/>
      <c r="AI565" s="34" t="n"/>
    </row>
    <row r="566" ht="14.25" customHeight="1" s="35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  <c r="AA566" s="34" t="n"/>
      <c r="AB566" s="34" t="n"/>
      <c r="AC566" s="34" t="n"/>
      <c r="AD566" s="34" t="n"/>
      <c r="AE566" s="34" t="n"/>
      <c r="AF566" s="34" t="n"/>
      <c r="AG566" s="34" t="n"/>
      <c r="AH566" s="34" t="n"/>
      <c r="AI566" s="34" t="n"/>
    </row>
    <row r="567" ht="14.25" customHeight="1" s="35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  <c r="AA567" s="34" t="n"/>
      <c r="AB567" s="34" t="n"/>
      <c r="AC567" s="34" t="n"/>
      <c r="AD567" s="34" t="n"/>
      <c r="AE567" s="34" t="n"/>
      <c r="AF567" s="34" t="n"/>
      <c r="AG567" s="34" t="n"/>
      <c r="AH567" s="34" t="n"/>
      <c r="AI567" s="34" t="n"/>
    </row>
    <row r="568" ht="14.25" customHeight="1" s="35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  <c r="AA568" s="34" t="n"/>
      <c r="AB568" s="34" t="n"/>
      <c r="AC568" s="34" t="n"/>
      <c r="AD568" s="34" t="n"/>
      <c r="AE568" s="34" t="n"/>
      <c r="AF568" s="34" t="n"/>
      <c r="AG568" s="34" t="n"/>
      <c r="AH568" s="34" t="n"/>
      <c r="AI568" s="34" t="n"/>
    </row>
    <row r="569" ht="14.25" customHeight="1" s="35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  <c r="AA569" s="34" t="n"/>
      <c r="AB569" s="34" t="n"/>
      <c r="AC569" s="34" t="n"/>
      <c r="AD569" s="34" t="n"/>
      <c r="AE569" s="34" t="n"/>
      <c r="AF569" s="34" t="n"/>
      <c r="AG569" s="34" t="n"/>
      <c r="AH569" s="34" t="n"/>
      <c r="AI569" s="34" t="n"/>
    </row>
    <row r="570" ht="14.25" customHeight="1" s="35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  <c r="AA570" s="34" t="n"/>
      <c r="AB570" s="34" t="n"/>
      <c r="AC570" s="34" t="n"/>
      <c r="AD570" s="34" t="n"/>
      <c r="AE570" s="34" t="n"/>
      <c r="AF570" s="34" t="n"/>
      <c r="AG570" s="34" t="n"/>
      <c r="AH570" s="34" t="n"/>
      <c r="AI570" s="34" t="n"/>
    </row>
    <row r="571" ht="14.25" customHeight="1" s="35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  <c r="AA571" s="34" t="n"/>
      <c r="AB571" s="34" t="n"/>
      <c r="AC571" s="34" t="n"/>
      <c r="AD571" s="34" t="n"/>
      <c r="AE571" s="34" t="n"/>
      <c r="AF571" s="34" t="n"/>
      <c r="AG571" s="34" t="n"/>
      <c r="AH571" s="34" t="n"/>
      <c r="AI571" s="34" t="n"/>
    </row>
    <row r="572" ht="14.25" customHeight="1" s="35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  <c r="AA572" s="34" t="n"/>
      <c r="AB572" s="34" t="n"/>
      <c r="AC572" s="34" t="n"/>
      <c r="AD572" s="34" t="n"/>
      <c r="AE572" s="34" t="n"/>
      <c r="AF572" s="34" t="n"/>
      <c r="AG572" s="34" t="n"/>
      <c r="AH572" s="34" t="n"/>
      <c r="AI572" s="34" t="n"/>
    </row>
    <row r="573" ht="14.25" customHeight="1" s="35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  <c r="AA573" s="34" t="n"/>
      <c r="AB573" s="34" t="n"/>
      <c r="AC573" s="34" t="n"/>
      <c r="AD573" s="34" t="n"/>
      <c r="AE573" s="34" t="n"/>
      <c r="AF573" s="34" t="n"/>
      <c r="AG573" s="34" t="n"/>
      <c r="AH573" s="34" t="n"/>
      <c r="AI573" s="34" t="n"/>
    </row>
    <row r="574" ht="14.25" customHeight="1" s="35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  <c r="AA574" s="34" t="n"/>
      <c r="AB574" s="34" t="n"/>
      <c r="AC574" s="34" t="n"/>
      <c r="AD574" s="34" t="n"/>
      <c r="AE574" s="34" t="n"/>
      <c r="AF574" s="34" t="n"/>
      <c r="AG574" s="34" t="n"/>
      <c r="AH574" s="34" t="n"/>
      <c r="AI574" s="34" t="n"/>
    </row>
    <row r="575" ht="14.25" customHeight="1" s="3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  <c r="AA575" s="34" t="n"/>
      <c r="AB575" s="34" t="n"/>
      <c r="AC575" s="34" t="n"/>
      <c r="AD575" s="34" t="n"/>
      <c r="AE575" s="34" t="n"/>
      <c r="AF575" s="34" t="n"/>
      <c r="AG575" s="34" t="n"/>
      <c r="AH575" s="34" t="n"/>
      <c r="AI575" s="34" t="n"/>
    </row>
    <row r="576" ht="14.25" customHeight="1" s="35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  <c r="AA576" s="34" t="n"/>
      <c r="AB576" s="34" t="n"/>
      <c r="AC576" s="34" t="n"/>
      <c r="AD576" s="34" t="n"/>
      <c r="AE576" s="34" t="n"/>
      <c r="AF576" s="34" t="n"/>
      <c r="AG576" s="34" t="n"/>
      <c r="AH576" s="34" t="n"/>
      <c r="AI576" s="34" t="n"/>
    </row>
    <row r="577" ht="14.25" customHeight="1" s="35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  <c r="AA577" s="34" t="n"/>
      <c r="AB577" s="34" t="n"/>
      <c r="AC577" s="34" t="n"/>
      <c r="AD577" s="34" t="n"/>
      <c r="AE577" s="34" t="n"/>
      <c r="AF577" s="34" t="n"/>
      <c r="AG577" s="34" t="n"/>
      <c r="AH577" s="34" t="n"/>
      <c r="AI577" s="34" t="n"/>
    </row>
    <row r="578" ht="14.25" customHeight="1" s="35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  <c r="AA578" s="34" t="n"/>
      <c r="AB578" s="34" t="n"/>
      <c r="AC578" s="34" t="n"/>
      <c r="AD578" s="34" t="n"/>
      <c r="AE578" s="34" t="n"/>
      <c r="AF578" s="34" t="n"/>
      <c r="AG578" s="34" t="n"/>
      <c r="AH578" s="34" t="n"/>
      <c r="AI578" s="34" t="n"/>
    </row>
    <row r="579" ht="14.25" customHeight="1" s="35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  <c r="AA579" s="34" t="n"/>
      <c r="AB579" s="34" t="n"/>
      <c r="AC579" s="34" t="n"/>
      <c r="AD579" s="34" t="n"/>
      <c r="AE579" s="34" t="n"/>
      <c r="AF579" s="34" t="n"/>
      <c r="AG579" s="34" t="n"/>
      <c r="AH579" s="34" t="n"/>
      <c r="AI579" s="34" t="n"/>
    </row>
    <row r="580" ht="14.25" customHeight="1" s="35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  <c r="AA580" s="34" t="n"/>
      <c r="AB580" s="34" t="n"/>
      <c r="AC580" s="34" t="n"/>
      <c r="AD580" s="34" t="n"/>
      <c r="AE580" s="34" t="n"/>
      <c r="AF580" s="34" t="n"/>
      <c r="AG580" s="34" t="n"/>
      <c r="AH580" s="34" t="n"/>
      <c r="AI580" s="34" t="n"/>
    </row>
    <row r="581" ht="14.25" customHeight="1" s="35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  <c r="AA581" s="34" t="n"/>
      <c r="AB581" s="34" t="n"/>
      <c r="AC581" s="34" t="n"/>
      <c r="AD581" s="34" t="n"/>
      <c r="AE581" s="34" t="n"/>
      <c r="AF581" s="34" t="n"/>
      <c r="AG581" s="34" t="n"/>
      <c r="AH581" s="34" t="n"/>
      <c r="AI581" s="34" t="n"/>
    </row>
    <row r="582" ht="14.25" customHeight="1" s="35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  <c r="AA582" s="34" t="n"/>
      <c r="AB582" s="34" t="n"/>
      <c r="AC582" s="34" t="n"/>
      <c r="AD582" s="34" t="n"/>
      <c r="AE582" s="34" t="n"/>
      <c r="AF582" s="34" t="n"/>
      <c r="AG582" s="34" t="n"/>
      <c r="AH582" s="34" t="n"/>
      <c r="AI582" s="34" t="n"/>
    </row>
    <row r="583" ht="14.25" customHeight="1" s="35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  <c r="AA583" s="34" t="n"/>
      <c r="AB583" s="34" t="n"/>
      <c r="AC583" s="34" t="n"/>
      <c r="AD583" s="34" t="n"/>
      <c r="AE583" s="34" t="n"/>
      <c r="AF583" s="34" t="n"/>
      <c r="AG583" s="34" t="n"/>
      <c r="AH583" s="34" t="n"/>
      <c r="AI583" s="34" t="n"/>
    </row>
    <row r="584" ht="14.25" customHeight="1" s="35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  <c r="AA584" s="34" t="n"/>
      <c r="AB584" s="34" t="n"/>
      <c r="AC584" s="34" t="n"/>
      <c r="AD584" s="34" t="n"/>
      <c r="AE584" s="34" t="n"/>
      <c r="AF584" s="34" t="n"/>
      <c r="AG584" s="34" t="n"/>
      <c r="AH584" s="34" t="n"/>
      <c r="AI584" s="34" t="n"/>
    </row>
    <row r="585" ht="14.25" customHeight="1" s="3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  <c r="AA585" s="34" t="n"/>
      <c r="AB585" s="34" t="n"/>
      <c r="AC585" s="34" t="n"/>
      <c r="AD585" s="34" t="n"/>
      <c r="AE585" s="34" t="n"/>
      <c r="AF585" s="34" t="n"/>
      <c r="AG585" s="34" t="n"/>
      <c r="AH585" s="34" t="n"/>
      <c r="AI585" s="34" t="n"/>
    </row>
    <row r="586" ht="14.25" customHeight="1" s="35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  <c r="AA586" s="34" t="n"/>
      <c r="AB586" s="34" t="n"/>
      <c r="AC586" s="34" t="n"/>
      <c r="AD586" s="34" t="n"/>
      <c r="AE586" s="34" t="n"/>
      <c r="AF586" s="34" t="n"/>
      <c r="AG586" s="34" t="n"/>
      <c r="AH586" s="34" t="n"/>
      <c r="AI586" s="34" t="n"/>
    </row>
    <row r="587" ht="14.25" customHeight="1" s="35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  <c r="AA587" s="34" t="n"/>
      <c r="AB587" s="34" t="n"/>
      <c r="AC587" s="34" t="n"/>
      <c r="AD587" s="34" t="n"/>
      <c r="AE587" s="34" t="n"/>
      <c r="AF587" s="34" t="n"/>
      <c r="AG587" s="34" t="n"/>
      <c r="AH587" s="34" t="n"/>
      <c r="AI587" s="34" t="n"/>
    </row>
    <row r="588" ht="14.25" customHeight="1" s="35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  <c r="AA588" s="34" t="n"/>
      <c r="AB588" s="34" t="n"/>
      <c r="AC588" s="34" t="n"/>
      <c r="AD588" s="34" t="n"/>
      <c r="AE588" s="34" t="n"/>
      <c r="AF588" s="34" t="n"/>
      <c r="AG588" s="34" t="n"/>
      <c r="AH588" s="34" t="n"/>
      <c r="AI588" s="34" t="n"/>
    </row>
    <row r="589" ht="14.25" customHeight="1" s="35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  <c r="AA589" s="34" t="n"/>
      <c r="AB589" s="34" t="n"/>
      <c r="AC589" s="34" t="n"/>
      <c r="AD589" s="34" t="n"/>
      <c r="AE589" s="34" t="n"/>
      <c r="AF589" s="34" t="n"/>
      <c r="AG589" s="34" t="n"/>
      <c r="AH589" s="34" t="n"/>
      <c r="AI589" s="34" t="n"/>
    </row>
    <row r="590" ht="14.25" customHeight="1" s="35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  <c r="AA590" s="34" t="n"/>
      <c r="AB590" s="34" t="n"/>
      <c r="AC590" s="34" t="n"/>
      <c r="AD590" s="34" t="n"/>
      <c r="AE590" s="34" t="n"/>
      <c r="AF590" s="34" t="n"/>
      <c r="AG590" s="34" t="n"/>
      <c r="AH590" s="34" t="n"/>
      <c r="AI590" s="34" t="n"/>
    </row>
    <row r="591" ht="14.25" customHeight="1" s="35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  <c r="AA591" s="34" t="n"/>
      <c r="AB591" s="34" t="n"/>
      <c r="AC591" s="34" t="n"/>
      <c r="AD591" s="34" t="n"/>
      <c r="AE591" s="34" t="n"/>
      <c r="AF591" s="34" t="n"/>
      <c r="AG591" s="34" t="n"/>
      <c r="AH591" s="34" t="n"/>
      <c r="AI591" s="34" t="n"/>
    </row>
    <row r="592" ht="14.25" customHeight="1" s="35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  <c r="AA592" s="34" t="n"/>
      <c r="AB592" s="34" t="n"/>
      <c r="AC592" s="34" t="n"/>
      <c r="AD592" s="34" t="n"/>
      <c r="AE592" s="34" t="n"/>
      <c r="AF592" s="34" t="n"/>
      <c r="AG592" s="34" t="n"/>
      <c r="AH592" s="34" t="n"/>
      <c r="AI592" s="34" t="n"/>
    </row>
    <row r="593" ht="14.25" customHeight="1" s="35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  <c r="AA593" s="34" t="n"/>
      <c r="AB593" s="34" t="n"/>
      <c r="AC593" s="34" t="n"/>
      <c r="AD593" s="34" t="n"/>
      <c r="AE593" s="34" t="n"/>
      <c r="AF593" s="34" t="n"/>
      <c r="AG593" s="34" t="n"/>
      <c r="AH593" s="34" t="n"/>
      <c r="AI593" s="34" t="n"/>
    </row>
    <row r="594" ht="14.25" customHeight="1" s="35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  <c r="AA594" s="34" t="n"/>
      <c r="AB594" s="34" t="n"/>
      <c r="AC594" s="34" t="n"/>
      <c r="AD594" s="34" t="n"/>
      <c r="AE594" s="34" t="n"/>
      <c r="AF594" s="34" t="n"/>
      <c r="AG594" s="34" t="n"/>
      <c r="AH594" s="34" t="n"/>
      <c r="AI594" s="34" t="n"/>
    </row>
    <row r="595" ht="14.25" customHeight="1" s="3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  <c r="AA595" s="34" t="n"/>
      <c r="AB595" s="34" t="n"/>
      <c r="AC595" s="34" t="n"/>
      <c r="AD595" s="34" t="n"/>
      <c r="AE595" s="34" t="n"/>
      <c r="AF595" s="34" t="n"/>
      <c r="AG595" s="34" t="n"/>
      <c r="AH595" s="34" t="n"/>
      <c r="AI595" s="34" t="n"/>
    </row>
    <row r="596" ht="14.25" customHeight="1" s="35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  <c r="AA596" s="34" t="n"/>
      <c r="AB596" s="34" t="n"/>
      <c r="AC596" s="34" t="n"/>
      <c r="AD596" s="34" t="n"/>
      <c r="AE596" s="34" t="n"/>
      <c r="AF596" s="34" t="n"/>
      <c r="AG596" s="34" t="n"/>
      <c r="AH596" s="34" t="n"/>
      <c r="AI596" s="34" t="n"/>
    </row>
    <row r="597" ht="14.25" customHeight="1" s="35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  <c r="AA597" s="34" t="n"/>
      <c r="AB597" s="34" t="n"/>
      <c r="AC597" s="34" t="n"/>
      <c r="AD597" s="34" t="n"/>
      <c r="AE597" s="34" t="n"/>
      <c r="AF597" s="34" t="n"/>
      <c r="AG597" s="34" t="n"/>
      <c r="AH597" s="34" t="n"/>
      <c r="AI597" s="34" t="n"/>
    </row>
    <row r="598" ht="14.25" customHeight="1" s="35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  <c r="AA598" s="34" t="n"/>
      <c r="AB598" s="34" t="n"/>
      <c r="AC598" s="34" t="n"/>
      <c r="AD598" s="34" t="n"/>
      <c r="AE598" s="34" t="n"/>
      <c r="AF598" s="34" t="n"/>
      <c r="AG598" s="34" t="n"/>
      <c r="AH598" s="34" t="n"/>
      <c r="AI598" s="34" t="n"/>
    </row>
    <row r="599" ht="14.25" customHeight="1" s="35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  <c r="AA599" s="34" t="n"/>
      <c r="AB599" s="34" t="n"/>
      <c r="AC599" s="34" t="n"/>
      <c r="AD599" s="34" t="n"/>
      <c r="AE599" s="34" t="n"/>
      <c r="AF599" s="34" t="n"/>
      <c r="AG599" s="34" t="n"/>
      <c r="AH599" s="34" t="n"/>
      <c r="AI599" s="34" t="n"/>
    </row>
    <row r="600" ht="14.25" customHeight="1" s="35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  <c r="AA600" s="34" t="n"/>
      <c r="AB600" s="34" t="n"/>
      <c r="AC600" s="34" t="n"/>
      <c r="AD600" s="34" t="n"/>
      <c r="AE600" s="34" t="n"/>
      <c r="AF600" s="34" t="n"/>
      <c r="AG600" s="34" t="n"/>
      <c r="AH600" s="34" t="n"/>
      <c r="AI600" s="34" t="n"/>
    </row>
    <row r="601" ht="14.25" customHeight="1" s="35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  <c r="AA601" s="34" t="n"/>
      <c r="AB601" s="34" t="n"/>
      <c r="AC601" s="34" t="n"/>
      <c r="AD601" s="34" t="n"/>
      <c r="AE601" s="34" t="n"/>
      <c r="AF601" s="34" t="n"/>
      <c r="AG601" s="34" t="n"/>
      <c r="AH601" s="34" t="n"/>
      <c r="AI601" s="34" t="n"/>
    </row>
    <row r="602" ht="14.25" customHeight="1" s="35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  <c r="AA602" s="34" t="n"/>
      <c r="AB602" s="34" t="n"/>
      <c r="AC602" s="34" t="n"/>
      <c r="AD602" s="34" t="n"/>
      <c r="AE602" s="34" t="n"/>
      <c r="AF602" s="34" t="n"/>
      <c r="AG602" s="34" t="n"/>
      <c r="AH602" s="34" t="n"/>
      <c r="AI602" s="34" t="n"/>
    </row>
    <row r="603" ht="14.25" customHeight="1" s="35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  <c r="AA603" s="34" t="n"/>
      <c r="AB603" s="34" t="n"/>
      <c r="AC603" s="34" t="n"/>
      <c r="AD603" s="34" t="n"/>
      <c r="AE603" s="34" t="n"/>
      <c r="AF603" s="34" t="n"/>
      <c r="AG603" s="34" t="n"/>
      <c r="AH603" s="34" t="n"/>
      <c r="AI603" s="34" t="n"/>
    </row>
    <row r="604" ht="14.25" customHeight="1" s="35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  <c r="AA604" s="34" t="n"/>
      <c r="AB604" s="34" t="n"/>
      <c r="AC604" s="34" t="n"/>
      <c r="AD604" s="34" t="n"/>
      <c r="AE604" s="34" t="n"/>
      <c r="AF604" s="34" t="n"/>
      <c r="AG604" s="34" t="n"/>
      <c r="AH604" s="34" t="n"/>
      <c r="AI604" s="34" t="n"/>
    </row>
    <row r="605" ht="14.25" customHeight="1" s="3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  <c r="AA605" s="34" t="n"/>
      <c r="AB605" s="34" t="n"/>
      <c r="AC605" s="34" t="n"/>
      <c r="AD605" s="34" t="n"/>
      <c r="AE605" s="34" t="n"/>
      <c r="AF605" s="34" t="n"/>
      <c r="AG605" s="34" t="n"/>
      <c r="AH605" s="34" t="n"/>
      <c r="AI605" s="34" t="n"/>
    </row>
    <row r="606" ht="14.25" customHeight="1" s="35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  <c r="AA606" s="34" t="n"/>
      <c r="AB606" s="34" t="n"/>
      <c r="AC606" s="34" t="n"/>
      <c r="AD606" s="34" t="n"/>
      <c r="AE606" s="34" t="n"/>
      <c r="AF606" s="34" t="n"/>
      <c r="AG606" s="34" t="n"/>
      <c r="AH606" s="34" t="n"/>
      <c r="AI606" s="34" t="n"/>
    </row>
    <row r="607" ht="14.25" customHeight="1" s="35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  <c r="AA607" s="34" t="n"/>
      <c r="AB607" s="34" t="n"/>
      <c r="AC607" s="34" t="n"/>
      <c r="AD607" s="34" t="n"/>
      <c r="AE607" s="34" t="n"/>
      <c r="AF607" s="34" t="n"/>
      <c r="AG607" s="34" t="n"/>
      <c r="AH607" s="34" t="n"/>
      <c r="AI607" s="34" t="n"/>
    </row>
    <row r="608" ht="14.25" customHeight="1" s="35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  <c r="AA608" s="34" t="n"/>
      <c r="AB608" s="34" t="n"/>
      <c r="AC608" s="34" t="n"/>
      <c r="AD608" s="34" t="n"/>
      <c r="AE608" s="34" t="n"/>
      <c r="AF608" s="34" t="n"/>
      <c r="AG608" s="34" t="n"/>
      <c r="AH608" s="34" t="n"/>
      <c r="AI608" s="34" t="n"/>
    </row>
    <row r="609" ht="14.25" customHeight="1" s="35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  <c r="AA609" s="34" t="n"/>
      <c r="AB609" s="34" t="n"/>
      <c r="AC609" s="34" t="n"/>
      <c r="AD609" s="34" t="n"/>
      <c r="AE609" s="34" t="n"/>
      <c r="AF609" s="34" t="n"/>
      <c r="AG609" s="34" t="n"/>
      <c r="AH609" s="34" t="n"/>
      <c r="AI609" s="34" t="n"/>
    </row>
    <row r="610" ht="14.25" customHeight="1" s="35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  <c r="AA610" s="34" t="n"/>
      <c r="AB610" s="34" t="n"/>
      <c r="AC610" s="34" t="n"/>
      <c r="AD610" s="34" t="n"/>
      <c r="AE610" s="34" t="n"/>
      <c r="AF610" s="34" t="n"/>
      <c r="AG610" s="34" t="n"/>
      <c r="AH610" s="34" t="n"/>
      <c r="AI610" s="34" t="n"/>
    </row>
    <row r="611" ht="14.25" customHeight="1" s="35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  <c r="AA611" s="34" t="n"/>
      <c r="AB611" s="34" t="n"/>
      <c r="AC611" s="34" t="n"/>
      <c r="AD611" s="34" t="n"/>
      <c r="AE611" s="34" t="n"/>
      <c r="AF611" s="34" t="n"/>
      <c r="AG611" s="34" t="n"/>
      <c r="AH611" s="34" t="n"/>
      <c r="AI611" s="34" t="n"/>
    </row>
    <row r="612" ht="14.25" customHeight="1" s="35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  <c r="AA612" s="34" t="n"/>
      <c r="AB612" s="34" t="n"/>
      <c r="AC612" s="34" t="n"/>
      <c r="AD612" s="34" t="n"/>
      <c r="AE612" s="34" t="n"/>
      <c r="AF612" s="34" t="n"/>
      <c r="AG612" s="34" t="n"/>
      <c r="AH612" s="34" t="n"/>
      <c r="AI612" s="34" t="n"/>
    </row>
    <row r="613" ht="14.25" customHeight="1" s="35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  <c r="AA613" s="34" t="n"/>
      <c r="AB613" s="34" t="n"/>
      <c r="AC613" s="34" t="n"/>
      <c r="AD613" s="34" t="n"/>
      <c r="AE613" s="34" t="n"/>
      <c r="AF613" s="34" t="n"/>
      <c r="AG613" s="34" t="n"/>
      <c r="AH613" s="34" t="n"/>
      <c r="AI613" s="34" t="n"/>
    </row>
    <row r="614" ht="14.25" customHeight="1" s="35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  <c r="AA614" s="34" t="n"/>
      <c r="AB614" s="34" t="n"/>
      <c r="AC614" s="34" t="n"/>
      <c r="AD614" s="34" t="n"/>
      <c r="AE614" s="34" t="n"/>
      <c r="AF614" s="34" t="n"/>
      <c r="AG614" s="34" t="n"/>
      <c r="AH614" s="34" t="n"/>
      <c r="AI614" s="34" t="n"/>
    </row>
    <row r="615" ht="14.25" customHeight="1" s="3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  <c r="AA615" s="34" t="n"/>
      <c r="AB615" s="34" t="n"/>
      <c r="AC615" s="34" t="n"/>
      <c r="AD615" s="34" t="n"/>
      <c r="AE615" s="34" t="n"/>
      <c r="AF615" s="34" t="n"/>
      <c r="AG615" s="34" t="n"/>
      <c r="AH615" s="34" t="n"/>
      <c r="AI615" s="34" t="n"/>
    </row>
    <row r="616" ht="14.25" customHeight="1" s="35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  <c r="AA616" s="34" t="n"/>
      <c r="AB616" s="34" t="n"/>
      <c r="AC616" s="34" t="n"/>
      <c r="AD616" s="34" t="n"/>
      <c r="AE616" s="34" t="n"/>
      <c r="AF616" s="34" t="n"/>
      <c r="AG616" s="34" t="n"/>
      <c r="AH616" s="34" t="n"/>
      <c r="AI616" s="34" t="n"/>
    </row>
    <row r="617" ht="14.25" customHeight="1" s="35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  <c r="AA617" s="34" t="n"/>
      <c r="AB617" s="34" t="n"/>
      <c r="AC617" s="34" t="n"/>
      <c r="AD617" s="34" t="n"/>
      <c r="AE617" s="34" t="n"/>
      <c r="AF617" s="34" t="n"/>
      <c r="AG617" s="34" t="n"/>
      <c r="AH617" s="34" t="n"/>
      <c r="AI617" s="34" t="n"/>
    </row>
    <row r="618" ht="14.25" customHeight="1" s="35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  <c r="AA618" s="34" t="n"/>
      <c r="AB618" s="34" t="n"/>
      <c r="AC618" s="34" t="n"/>
      <c r="AD618" s="34" t="n"/>
      <c r="AE618" s="34" t="n"/>
      <c r="AF618" s="34" t="n"/>
      <c r="AG618" s="34" t="n"/>
      <c r="AH618" s="34" t="n"/>
      <c r="AI618" s="34" t="n"/>
    </row>
    <row r="619" ht="14.25" customHeight="1" s="35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  <c r="AA619" s="34" t="n"/>
      <c r="AB619" s="34" t="n"/>
      <c r="AC619" s="34" t="n"/>
      <c r="AD619" s="34" t="n"/>
      <c r="AE619" s="34" t="n"/>
      <c r="AF619" s="34" t="n"/>
      <c r="AG619" s="34" t="n"/>
      <c r="AH619" s="34" t="n"/>
      <c r="AI619" s="34" t="n"/>
    </row>
    <row r="620" ht="14.25" customHeight="1" s="35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  <c r="AA620" s="34" t="n"/>
      <c r="AB620" s="34" t="n"/>
      <c r="AC620" s="34" t="n"/>
      <c r="AD620" s="34" t="n"/>
      <c r="AE620" s="34" t="n"/>
      <c r="AF620" s="34" t="n"/>
      <c r="AG620" s="34" t="n"/>
      <c r="AH620" s="34" t="n"/>
      <c r="AI620" s="34" t="n"/>
    </row>
    <row r="621" ht="14.25" customHeight="1" s="35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  <c r="AA621" s="34" t="n"/>
      <c r="AB621" s="34" t="n"/>
      <c r="AC621" s="34" t="n"/>
      <c r="AD621" s="34" t="n"/>
      <c r="AE621" s="34" t="n"/>
      <c r="AF621" s="34" t="n"/>
      <c r="AG621" s="34" t="n"/>
      <c r="AH621" s="34" t="n"/>
      <c r="AI621" s="34" t="n"/>
    </row>
    <row r="622" ht="14.25" customHeight="1" s="35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  <c r="AA622" s="34" t="n"/>
      <c r="AB622" s="34" t="n"/>
      <c r="AC622" s="34" t="n"/>
      <c r="AD622" s="34" t="n"/>
      <c r="AE622" s="34" t="n"/>
      <c r="AF622" s="34" t="n"/>
      <c r="AG622" s="34" t="n"/>
      <c r="AH622" s="34" t="n"/>
      <c r="AI622" s="34" t="n"/>
    </row>
    <row r="623" ht="14.25" customHeight="1" s="35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  <c r="AA623" s="34" t="n"/>
      <c r="AB623" s="34" t="n"/>
      <c r="AC623" s="34" t="n"/>
      <c r="AD623" s="34" t="n"/>
      <c r="AE623" s="34" t="n"/>
      <c r="AF623" s="34" t="n"/>
      <c r="AG623" s="34" t="n"/>
      <c r="AH623" s="34" t="n"/>
      <c r="AI623" s="34" t="n"/>
    </row>
    <row r="624" ht="14.25" customHeight="1" s="35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  <c r="AA624" s="34" t="n"/>
      <c r="AB624" s="34" t="n"/>
      <c r="AC624" s="34" t="n"/>
      <c r="AD624" s="34" t="n"/>
      <c r="AE624" s="34" t="n"/>
      <c r="AF624" s="34" t="n"/>
      <c r="AG624" s="34" t="n"/>
      <c r="AH624" s="34" t="n"/>
      <c r="AI624" s="34" t="n"/>
    </row>
    <row r="625" ht="14.25" customHeight="1" s="3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  <c r="AA625" s="34" t="n"/>
      <c r="AB625" s="34" t="n"/>
      <c r="AC625" s="34" t="n"/>
      <c r="AD625" s="34" t="n"/>
      <c r="AE625" s="34" t="n"/>
      <c r="AF625" s="34" t="n"/>
      <c r="AG625" s="34" t="n"/>
      <c r="AH625" s="34" t="n"/>
      <c r="AI625" s="34" t="n"/>
    </row>
    <row r="626" ht="14.25" customHeight="1" s="35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  <c r="AA626" s="34" t="n"/>
      <c r="AB626" s="34" t="n"/>
      <c r="AC626" s="34" t="n"/>
      <c r="AD626" s="34" t="n"/>
      <c r="AE626" s="34" t="n"/>
      <c r="AF626" s="34" t="n"/>
      <c r="AG626" s="34" t="n"/>
      <c r="AH626" s="34" t="n"/>
      <c r="AI626" s="34" t="n"/>
    </row>
    <row r="627" ht="14.25" customHeight="1" s="35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  <c r="AA627" s="34" t="n"/>
      <c r="AB627" s="34" t="n"/>
      <c r="AC627" s="34" t="n"/>
      <c r="AD627" s="34" t="n"/>
      <c r="AE627" s="34" t="n"/>
      <c r="AF627" s="34" t="n"/>
      <c r="AG627" s="34" t="n"/>
      <c r="AH627" s="34" t="n"/>
      <c r="AI627" s="34" t="n"/>
    </row>
    <row r="628" ht="14.25" customHeight="1" s="35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  <c r="AA628" s="34" t="n"/>
      <c r="AB628" s="34" t="n"/>
      <c r="AC628" s="34" t="n"/>
      <c r="AD628" s="34" t="n"/>
      <c r="AE628" s="34" t="n"/>
      <c r="AF628" s="34" t="n"/>
      <c r="AG628" s="34" t="n"/>
      <c r="AH628" s="34" t="n"/>
      <c r="AI628" s="34" t="n"/>
    </row>
    <row r="629" ht="14.25" customHeight="1" s="35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  <c r="AA629" s="34" t="n"/>
      <c r="AB629" s="34" t="n"/>
      <c r="AC629" s="34" t="n"/>
      <c r="AD629" s="34" t="n"/>
      <c r="AE629" s="34" t="n"/>
      <c r="AF629" s="34" t="n"/>
      <c r="AG629" s="34" t="n"/>
      <c r="AH629" s="34" t="n"/>
      <c r="AI629" s="34" t="n"/>
    </row>
    <row r="630" ht="14.25" customHeight="1" s="35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  <c r="AA630" s="34" t="n"/>
      <c r="AB630" s="34" t="n"/>
      <c r="AC630" s="34" t="n"/>
      <c r="AD630" s="34" t="n"/>
      <c r="AE630" s="34" t="n"/>
      <c r="AF630" s="34" t="n"/>
      <c r="AG630" s="34" t="n"/>
      <c r="AH630" s="34" t="n"/>
      <c r="AI630" s="34" t="n"/>
    </row>
    <row r="631" ht="14.25" customHeight="1" s="35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  <c r="AA631" s="34" t="n"/>
      <c r="AB631" s="34" t="n"/>
      <c r="AC631" s="34" t="n"/>
      <c r="AD631" s="34" t="n"/>
      <c r="AE631" s="34" t="n"/>
      <c r="AF631" s="34" t="n"/>
      <c r="AG631" s="34" t="n"/>
      <c r="AH631" s="34" t="n"/>
      <c r="AI631" s="34" t="n"/>
    </row>
    <row r="632" ht="14.25" customHeight="1" s="35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  <c r="AA632" s="34" t="n"/>
      <c r="AB632" s="34" t="n"/>
      <c r="AC632" s="34" t="n"/>
      <c r="AD632" s="34" t="n"/>
      <c r="AE632" s="34" t="n"/>
      <c r="AF632" s="34" t="n"/>
      <c r="AG632" s="34" t="n"/>
      <c r="AH632" s="34" t="n"/>
      <c r="AI632" s="34" t="n"/>
    </row>
    <row r="633" ht="14.25" customHeight="1" s="35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  <c r="AA633" s="34" t="n"/>
      <c r="AB633" s="34" t="n"/>
      <c r="AC633" s="34" t="n"/>
      <c r="AD633" s="34" t="n"/>
      <c r="AE633" s="34" t="n"/>
      <c r="AF633" s="34" t="n"/>
      <c r="AG633" s="34" t="n"/>
      <c r="AH633" s="34" t="n"/>
      <c r="AI633" s="34" t="n"/>
    </row>
    <row r="634" ht="14.25" customHeight="1" s="35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  <c r="AA634" s="34" t="n"/>
      <c r="AB634" s="34" t="n"/>
      <c r="AC634" s="34" t="n"/>
      <c r="AD634" s="34" t="n"/>
      <c r="AE634" s="34" t="n"/>
      <c r="AF634" s="34" t="n"/>
      <c r="AG634" s="34" t="n"/>
      <c r="AH634" s="34" t="n"/>
      <c r="AI634" s="34" t="n"/>
    </row>
    <row r="635" ht="14.25" customHeight="1" s="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  <c r="AA635" s="34" t="n"/>
      <c r="AB635" s="34" t="n"/>
      <c r="AC635" s="34" t="n"/>
      <c r="AD635" s="34" t="n"/>
      <c r="AE635" s="34" t="n"/>
      <c r="AF635" s="34" t="n"/>
      <c r="AG635" s="34" t="n"/>
      <c r="AH635" s="34" t="n"/>
      <c r="AI635" s="34" t="n"/>
    </row>
    <row r="636" ht="14.25" customHeight="1" s="35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  <c r="AA636" s="34" t="n"/>
      <c r="AB636" s="34" t="n"/>
      <c r="AC636" s="34" t="n"/>
      <c r="AD636" s="34" t="n"/>
      <c r="AE636" s="34" t="n"/>
      <c r="AF636" s="34" t="n"/>
      <c r="AG636" s="34" t="n"/>
      <c r="AH636" s="34" t="n"/>
      <c r="AI636" s="34" t="n"/>
    </row>
    <row r="637" ht="14.25" customHeight="1" s="35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  <c r="AA637" s="34" t="n"/>
      <c r="AB637" s="34" t="n"/>
      <c r="AC637" s="34" t="n"/>
      <c r="AD637" s="34" t="n"/>
      <c r="AE637" s="34" t="n"/>
      <c r="AF637" s="34" t="n"/>
      <c r="AG637" s="34" t="n"/>
      <c r="AH637" s="34" t="n"/>
      <c r="AI637" s="34" t="n"/>
    </row>
    <row r="638" ht="14.25" customHeight="1" s="35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  <c r="AA638" s="34" t="n"/>
      <c r="AB638" s="34" t="n"/>
      <c r="AC638" s="34" t="n"/>
      <c r="AD638" s="34" t="n"/>
      <c r="AE638" s="34" t="n"/>
      <c r="AF638" s="34" t="n"/>
      <c r="AG638" s="34" t="n"/>
      <c r="AH638" s="34" t="n"/>
      <c r="AI638" s="34" t="n"/>
    </row>
    <row r="639" ht="14.25" customHeight="1" s="35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  <c r="AA639" s="34" t="n"/>
      <c r="AB639" s="34" t="n"/>
      <c r="AC639" s="34" t="n"/>
      <c r="AD639" s="34" t="n"/>
      <c r="AE639" s="34" t="n"/>
      <c r="AF639" s="34" t="n"/>
      <c r="AG639" s="34" t="n"/>
      <c r="AH639" s="34" t="n"/>
      <c r="AI639" s="34" t="n"/>
    </row>
    <row r="640" ht="14.25" customHeight="1" s="35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  <c r="AA640" s="34" t="n"/>
      <c r="AB640" s="34" t="n"/>
      <c r="AC640" s="34" t="n"/>
      <c r="AD640" s="34" t="n"/>
      <c r="AE640" s="34" t="n"/>
      <c r="AF640" s="34" t="n"/>
      <c r="AG640" s="34" t="n"/>
      <c r="AH640" s="34" t="n"/>
      <c r="AI640" s="34" t="n"/>
    </row>
    <row r="641" ht="14.25" customHeight="1" s="35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  <c r="AA641" s="34" t="n"/>
      <c r="AB641" s="34" t="n"/>
      <c r="AC641" s="34" t="n"/>
      <c r="AD641" s="34" t="n"/>
      <c r="AE641" s="34" t="n"/>
      <c r="AF641" s="34" t="n"/>
      <c r="AG641" s="34" t="n"/>
      <c r="AH641" s="34" t="n"/>
      <c r="AI641" s="34" t="n"/>
    </row>
    <row r="642" ht="14.25" customHeight="1" s="35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  <c r="AA642" s="34" t="n"/>
      <c r="AB642" s="34" t="n"/>
      <c r="AC642" s="34" t="n"/>
      <c r="AD642" s="34" t="n"/>
      <c r="AE642" s="34" t="n"/>
      <c r="AF642" s="34" t="n"/>
      <c r="AG642" s="34" t="n"/>
      <c r="AH642" s="34" t="n"/>
      <c r="AI642" s="34" t="n"/>
    </row>
    <row r="643" ht="14.25" customHeight="1" s="35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  <c r="AA643" s="34" t="n"/>
      <c r="AB643" s="34" t="n"/>
      <c r="AC643" s="34" t="n"/>
      <c r="AD643" s="34" t="n"/>
      <c r="AE643" s="34" t="n"/>
      <c r="AF643" s="34" t="n"/>
      <c r="AG643" s="34" t="n"/>
      <c r="AH643" s="34" t="n"/>
      <c r="AI643" s="34" t="n"/>
    </row>
    <row r="644" ht="14.25" customHeight="1" s="35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  <c r="AA644" s="34" t="n"/>
      <c r="AB644" s="34" t="n"/>
      <c r="AC644" s="34" t="n"/>
      <c r="AD644" s="34" t="n"/>
      <c r="AE644" s="34" t="n"/>
      <c r="AF644" s="34" t="n"/>
      <c r="AG644" s="34" t="n"/>
      <c r="AH644" s="34" t="n"/>
      <c r="AI644" s="34" t="n"/>
    </row>
    <row r="645" ht="14.25" customHeight="1" s="3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  <c r="AA645" s="34" t="n"/>
      <c r="AB645" s="34" t="n"/>
      <c r="AC645" s="34" t="n"/>
      <c r="AD645" s="34" t="n"/>
      <c r="AE645" s="34" t="n"/>
      <c r="AF645" s="34" t="n"/>
      <c r="AG645" s="34" t="n"/>
      <c r="AH645" s="34" t="n"/>
      <c r="AI645" s="34" t="n"/>
    </row>
    <row r="646" ht="14.25" customHeight="1" s="35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  <c r="AA646" s="34" t="n"/>
      <c r="AB646" s="34" t="n"/>
      <c r="AC646" s="34" t="n"/>
      <c r="AD646" s="34" t="n"/>
      <c r="AE646" s="34" t="n"/>
      <c r="AF646" s="34" t="n"/>
      <c r="AG646" s="34" t="n"/>
      <c r="AH646" s="34" t="n"/>
      <c r="AI646" s="34" t="n"/>
    </row>
    <row r="647" ht="14.25" customHeight="1" s="35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  <c r="AA647" s="34" t="n"/>
      <c r="AB647" s="34" t="n"/>
      <c r="AC647" s="34" t="n"/>
      <c r="AD647" s="34" t="n"/>
      <c r="AE647" s="34" t="n"/>
      <c r="AF647" s="34" t="n"/>
      <c r="AG647" s="34" t="n"/>
      <c r="AH647" s="34" t="n"/>
      <c r="AI647" s="34" t="n"/>
    </row>
    <row r="648" ht="14.25" customHeight="1" s="35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  <c r="AA648" s="34" t="n"/>
      <c r="AB648" s="34" t="n"/>
      <c r="AC648" s="34" t="n"/>
      <c r="AD648" s="34" t="n"/>
      <c r="AE648" s="34" t="n"/>
      <c r="AF648" s="34" t="n"/>
      <c r="AG648" s="34" t="n"/>
      <c r="AH648" s="34" t="n"/>
      <c r="AI648" s="34" t="n"/>
    </row>
    <row r="649" ht="14.25" customHeight="1" s="35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  <c r="AA649" s="34" t="n"/>
      <c r="AB649" s="34" t="n"/>
      <c r="AC649" s="34" t="n"/>
      <c r="AD649" s="34" t="n"/>
      <c r="AE649" s="34" t="n"/>
      <c r="AF649" s="34" t="n"/>
      <c r="AG649" s="34" t="n"/>
      <c r="AH649" s="34" t="n"/>
      <c r="AI649" s="34" t="n"/>
    </row>
    <row r="650" ht="14.25" customHeight="1" s="35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  <c r="AA650" s="34" t="n"/>
      <c r="AB650" s="34" t="n"/>
      <c r="AC650" s="34" t="n"/>
      <c r="AD650" s="34" t="n"/>
      <c r="AE650" s="34" t="n"/>
      <c r="AF650" s="34" t="n"/>
      <c r="AG650" s="34" t="n"/>
      <c r="AH650" s="34" t="n"/>
      <c r="AI650" s="34" t="n"/>
    </row>
    <row r="651" ht="14.25" customHeight="1" s="35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  <c r="AA651" s="34" t="n"/>
      <c r="AB651" s="34" t="n"/>
      <c r="AC651" s="34" t="n"/>
      <c r="AD651" s="34" t="n"/>
      <c r="AE651" s="34" t="n"/>
      <c r="AF651" s="34" t="n"/>
      <c r="AG651" s="34" t="n"/>
      <c r="AH651" s="34" t="n"/>
      <c r="AI651" s="34" t="n"/>
    </row>
    <row r="652" ht="14.25" customHeight="1" s="35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  <c r="AA652" s="34" t="n"/>
      <c r="AB652" s="34" t="n"/>
      <c r="AC652" s="34" t="n"/>
      <c r="AD652" s="34" t="n"/>
      <c r="AE652" s="34" t="n"/>
      <c r="AF652" s="34" t="n"/>
      <c r="AG652" s="34" t="n"/>
      <c r="AH652" s="34" t="n"/>
      <c r="AI652" s="34" t="n"/>
    </row>
    <row r="653" ht="14.25" customHeight="1" s="35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  <c r="AA653" s="34" t="n"/>
      <c r="AB653" s="34" t="n"/>
      <c r="AC653" s="34" t="n"/>
      <c r="AD653" s="34" t="n"/>
      <c r="AE653" s="34" t="n"/>
      <c r="AF653" s="34" t="n"/>
      <c r="AG653" s="34" t="n"/>
      <c r="AH653" s="34" t="n"/>
      <c r="AI653" s="34" t="n"/>
    </row>
    <row r="654" ht="14.25" customHeight="1" s="35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  <c r="AA654" s="34" t="n"/>
      <c r="AB654" s="34" t="n"/>
      <c r="AC654" s="34" t="n"/>
      <c r="AD654" s="34" t="n"/>
      <c r="AE654" s="34" t="n"/>
      <c r="AF654" s="34" t="n"/>
      <c r="AG654" s="34" t="n"/>
      <c r="AH654" s="34" t="n"/>
      <c r="AI654" s="34" t="n"/>
    </row>
    <row r="655" ht="14.25" customHeight="1" s="3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  <c r="AA655" s="34" t="n"/>
      <c r="AB655" s="34" t="n"/>
      <c r="AC655" s="34" t="n"/>
      <c r="AD655" s="34" t="n"/>
      <c r="AE655" s="34" t="n"/>
      <c r="AF655" s="34" t="n"/>
      <c r="AG655" s="34" t="n"/>
      <c r="AH655" s="34" t="n"/>
      <c r="AI655" s="34" t="n"/>
    </row>
    <row r="656" ht="14.25" customHeight="1" s="35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  <c r="AA656" s="34" t="n"/>
      <c r="AB656" s="34" t="n"/>
      <c r="AC656" s="34" t="n"/>
      <c r="AD656" s="34" t="n"/>
      <c r="AE656" s="34" t="n"/>
      <c r="AF656" s="34" t="n"/>
      <c r="AG656" s="34" t="n"/>
      <c r="AH656" s="34" t="n"/>
      <c r="AI656" s="34" t="n"/>
    </row>
    <row r="657" ht="14.25" customHeight="1" s="35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  <c r="AA657" s="34" t="n"/>
      <c r="AB657" s="34" t="n"/>
      <c r="AC657" s="34" t="n"/>
      <c r="AD657" s="34" t="n"/>
      <c r="AE657" s="34" t="n"/>
      <c r="AF657" s="34" t="n"/>
      <c r="AG657" s="34" t="n"/>
      <c r="AH657" s="34" t="n"/>
      <c r="AI657" s="34" t="n"/>
    </row>
    <row r="658" ht="14.25" customHeight="1" s="35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  <c r="AA658" s="34" t="n"/>
      <c r="AB658" s="34" t="n"/>
      <c r="AC658" s="34" t="n"/>
      <c r="AD658" s="34" t="n"/>
      <c r="AE658" s="34" t="n"/>
      <c r="AF658" s="34" t="n"/>
      <c r="AG658" s="34" t="n"/>
      <c r="AH658" s="34" t="n"/>
      <c r="AI658" s="34" t="n"/>
    </row>
    <row r="659" ht="14.25" customHeight="1" s="35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  <c r="AA659" s="34" t="n"/>
      <c r="AB659" s="34" t="n"/>
      <c r="AC659" s="34" t="n"/>
      <c r="AD659" s="34" t="n"/>
      <c r="AE659" s="34" t="n"/>
      <c r="AF659" s="34" t="n"/>
      <c r="AG659" s="34" t="n"/>
      <c r="AH659" s="34" t="n"/>
      <c r="AI659" s="34" t="n"/>
    </row>
    <row r="660" ht="14.25" customHeight="1" s="35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  <c r="AA660" s="34" t="n"/>
      <c r="AB660" s="34" t="n"/>
      <c r="AC660" s="34" t="n"/>
      <c r="AD660" s="34" t="n"/>
      <c r="AE660" s="34" t="n"/>
      <c r="AF660" s="34" t="n"/>
      <c r="AG660" s="34" t="n"/>
      <c r="AH660" s="34" t="n"/>
      <c r="AI660" s="34" t="n"/>
    </row>
    <row r="661" ht="14.25" customHeight="1" s="35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  <c r="AA661" s="34" t="n"/>
      <c r="AB661" s="34" t="n"/>
      <c r="AC661" s="34" t="n"/>
      <c r="AD661" s="34" t="n"/>
      <c r="AE661" s="34" t="n"/>
      <c r="AF661" s="34" t="n"/>
      <c r="AG661" s="34" t="n"/>
      <c r="AH661" s="34" t="n"/>
      <c r="AI661" s="34" t="n"/>
    </row>
    <row r="662" ht="14.25" customHeight="1" s="35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  <c r="AA662" s="34" t="n"/>
      <c r="AB662" s="34" t="n"/>
      <c r="AC662" s="34" t="n"/>
      <c r="AD662" s="34" t="n"/>
      <c r="AE662" s="34" t="n"/>
      <c r="AF662" s="34" t="n"/>
      <c r="AG662" s="34" t="n"/>
      <c r="AH662" s="34" t="n"/>
      <c r="AI662" s="34" t="n"/>
    </row>
    <row r="663" ht="14.25" customHeight="1" s="35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  <c r="AA663" s="34" t="n"/>
      <c r="AB663" s="34" t="n"/>
      <c r="AC663" s="34" t="n"/>
      <c r="AD663" s="34" t="n"/>
      <c r="AE663" s="34" t="n"/>
      <c r="AF663" s="34" t="n"/>
      <c r="AG663" s="34" t="n"/>
      <c r="AH663" s="34" t="n"/>
      <c r="AI663" s="34" t="n"/>
    </row>
    <row r="664" ht="14.25" customHeight="1" s="35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  <c r="AA664" s="34" t="n"/>
      <c r="AB664" s="34" t="n"/>
      <c r="AC664" s="34" t="n"/>
      <c r="AD664" s="34" t="n"/>
      <c r="AE664" s="34" t="n"/>
      <c r="AF664" s="34" t="n"/>
      <c r="AG664" s="34" t="n"/>
      <c r="AH664" s="34" t="n"/>
      <c r="AI664" s="34" t="n"/>
    </row>
    <row r="665" ht="14.25" customHeight="1" s="3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  <c r="AA665" s="34" t="n"/>
      <c r="AB665" s="34" t="n"/>
      <c r="AC665" s="34" t="n"/>
      <c r="AD665" s="34" t="n"/>
      <c r="AE665" s="34" t="n"/>
      <c r="AF665" s="34" t="n"/>
      <c r="AG665" s="34" t="n"/>
      <c r="AH665" s="34" t="n"/>
      <c r="AI665" s="34" t="n"/>
    </row>
    <row r="666" ht="14.25" customHeight="1" s="35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  <c r="AA666" s="34" t="n"/>
      <c r="AB666" s="34" t="n"/>
      <c r="AC666" s="34" t="n"/>
      <c r="AD666" s="34" t="n"/>
      <c r="AE666" s="34" t="n"/>
      <c r="AF666" s="34" t="n"/>
      <c r="AG666" s="34" t="n"/>
      <c r="AH666" s="34" t="n"/>
      <c r="AI666" s="34" t="n"/>
    </row>
    <row r="667" ht="14.25" customHeight="1" s="35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  <c r="AA667" s="34" t="n"/>
      <c r="AB667" s="34" t="n"/>
      <c r="AC667" s="34" t="n"/>
      <c r="AD667" s="34" t="n"/>
      <c r="AE667" s="34" t="n"/>
      <c r="AF667" s="34" t="n"/>
      <c r="AG667" s="34" t="n"/>
      <c r="AH667" s="34" t="n"/>
      <c r="AI667" s="34" t="n"/>
    </row>
    <row r="668" ht="14.25" customHeight="1" s="35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  <c r="AA668" s="34" t="n"/>
      <c r="AB668" s="34" t="n"/>
      <c r="AC668" s="34" t="n"/>
      <c r="AD668" s="34" t="n"/>
      <c r="AE668" s="34" t="n"/>
      <c r="AF668" s="34" t="n"/>
      <c r="AG668" s="34" t="n"/>
      <c r="AH668" s="34" t="n"/>
      <c r="AI668" s="34" t="n"/>
    </row>
    <row r="669" ht="14.25" customHeight="1" s="35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  <c r="AA669" s="34" t="n"/>
      <c r="AB669" s="34" t="n"/>
      <c r="AC669" s="34" t="n"/>
      <c r="AD669" s="34" t="n"/>
      <c r="AE669" s="34" t="n"/>
      <c r="AF669" s="34" t="n"/>
      <c r="AG669" s="34" t="n"/>
      <c r="AH669" s="34" t="n"/>
      <c r="AI669" s="34" t="n"/>
    </row>
    <row r="670" ht="14.25" customHeight="1" s="35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  <c r="AA670" s="34" t="n"/>
      <c r="AB670" s="34" t="n"/>
      <c r="AC670" s="34" t="n"/>
      <c r="AD670" s="34" t="n"/>
      <c r="AE670" s="34" t="n"/>
      <c r="AF670" s="34" t="n"/>
      <c r="AG670" s="34" t="n"/>
      <c r="AH670" s="34" t="n"/>
      <c r="AI670" s="34" t="n"/>
    </row>
    <row r="671" ht="14.25" customHeight="1" s="35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  <c r="AA671" s="34" t="n"/>
      <c r="AB671" s="34" t="n"/>
      <c r="AC671" s="34" t="n"/>
      <c r="AD671" s="34" t="n"/>
      <c r="AE671" s="34" t="n"/>
      <c r="AF671" s="34" t="n"/>
      <c r="AG671" s="34" t="n"/>
      <c r="AH671" s="34" t="n"/>
      <c r="AI671" s="34" t="n"/>
    </row>
    <row r="672" ht="14.25" customHeight="1" s="35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  <c r="AA672" s="34" t="n"/>
      <c r="AB672" s="34" t="n"/>
      <c r="AC672" s="34" t="n"/>
      <c r="AD672" s="34" t="n"/>
      <c r="AE672" s="34" t="n"/>
      <c r="AF672" s="34" t="n"/>
      <c r="AG672" s="34" t="n"/>
      <c r="AH672" s="34" t="n"/>
      <c r="AI672" s="34" t="n"/>
    </row>
    <row r="673" ht="14.25" customHeight="1" s="35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  <c r="AA673" s="34" t="n"/>
      <c r="AB673" s="34" t="n"/>
      <c r="AC673" s="34" t="n"/>
      <c r="AD673" s="34" t="n"/>
      <c r="AE673" s="34" t="n"/>
      <c r="AF673" s="34" t="n"/>
      <c r="AG673" s="34" t="n"/>
      <c r="AH673" s="34" t="n"/>
      <c r="AI673" s="34" t="n"/>
    </row>
    <row r="674" ht="14.25" customHeight="1" s="35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  <c r="AA674" s="34" t="n"/>
      <c r="AB674" s="34" t="n"/>
      <c r="AC674" s="34" t="n"/>
      <c r="AD674" s="34" t="n"/>
      <c r="AE674" s="34" t="n"/>
      <c r="AF674" s="34" t="n"/>
      <c r="AG674" s="34" t="n"/>
      <c r="AH674" s="34" t="n"/>
      <c r="AI674" s="34" t="n"/>
    </row>
    <row r="675" ht="14.25" customHeight="1" s="3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  <c r="AA675" s="34" t="n"/>
      <c r="AB675" s="34" t="n"/>
      <c r="AC675" s="34" t="n"/>
      <c r="AD675" s="34" t="n"/>
      <c r="AE675" s="34" t="n"/>
      <c r="AF675" s="34" t="n"/>
      <c r="AG675" s="34" t="n"/>
      <c r="AH675" s="34" t="n"/>
      <c r="AI675" s="34" t="n"/>
    </row>
    <row r="676" ht="14.25" customHeight="1" s="35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  <c r="AA676" s="34" t="n"/>
      <c r="AB676" s="34" t="n"/>
      <c r="AC676" s="34" t="n"/>
      <c r="AD676" s="34" t="n"/>
      <c r="AE676" s="34" t="n"/>
      <c r="AF676" s="34" t="n"/>
      <c r="AG676" s="34" t="n"/>
      <c r="AH676" s="34" t="n"/>
      <c r="AI676" s="34" t="n"/>
    </row>
    <row r="677" ht="14.25" customHeight="1" s="35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  <c r="AA677" s="34" t="n"/>
      <c r="AB677" s="34" t="n"/>
      <c r="AC677" s="34" t="n"/>
      <c r="AD677" s="34" t="n"/>
      <c r="AE677" s="34" t="n"/>
      <c r="AF677" s="34" t="n"/>
      <c r="AG677" s="34" t="n"/>
      <c r="AH677" s="34" t="n"/>
      <c r="AI677" s="34" t="n"/>
    </row>
    <row r="678" ht="14.25" customHeight="1" s="35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  <c r="AA678" s="34" t="n"/>
      <c r="AB678" s="34" t="n"/>
      <c r="AC678" s="34" t="n"/>
      <c r="AD678" s="34" t="n"/>
      <c r="AE678" s="34" t="n"/>
      <c r="AF678" s="34" t="n"/>
      <c r="AG678" s="34" t="n"/>
      <c r="AH678" s="34" t="n"/>
      <c r="AI678" s="34" t="n"/>
    </row>
    <row r="679" ht="14.25" customHeight="1" s="35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  <c r="AA679" s="34" t="n"/>
      <c r="AB679" s="34" t="n"/>
      <c r="AC679" s="34" t="n"/>
      <c r="AD679" s="34" t="n"/>
      <c r="AE679" s="34" t="n"/>
      <c r="AF679" s="34" t="n"/>
      <c r="AG679" s="34" t="n"/>
      <c r="AH679" s="34" t="n"/>
      <c r="AI679" s="34" t="n"/>
    </row>
    <row r="680" ht="14.25" customHeight="1" s="35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  <c r="AA680" s="34" t="n"/>
      <c r="AB680" s="34" t="n"/>
      <c r="AC680" s="34" t="n"/>
      <c r="AD680" s="34" t="n"/>
      <c r="AE680" s="34" t="n"/>
      <c r="AF680" s="34" t="n"/>
      <c r="AG680" s="34" t="n"/>
      <c r="AH680" s="34" t="n"/>
      <c r="AI680" s="34" t="n"/>
    </row>
    <row r="681" ht="14.25" customHeight="1" s="35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  <c r="AA681" s="34" t="n"/>
      <c r="AB681" s="34" t="n"/>
      <c r="AC681" s="34" t="n"/>
      <c r="AD681" s="34" t="n"/>
      <c r="AE681" s="34" t="n"/>
      <c r="AF681" s="34" t="n"/>
      <c r="AG681" s="34" t="n"/>
      <c r="AH681" s="34" t="n"/>
      <c r="AI681" s="34" t="n"/>
    </row>
    <row r="682" ht="14.25" customHeight="1" s="35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  <c r="AA682" s="34" t="n"/>
      <c r="AB682" s="34" t="n"/>
      <c r="AC682" s="34" t="n"/>
      <c r="AD682" s="34" t="n"/>
      <c r="AE682" s="34" t="n"/>
      <c r="AF682" s="34" t="n"/>
      <c r="AG682" s="34" t="n"/>
      <c r="AH682" s="34" t="n"/>
      <c r="AI682" s="34" t="n"/>
    </row>
    <row r="683" ht="14.25" customHeight="1" s="35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  <c r="AA683" s="34" t="n"/>
      <c r="AB683" s="34" t="n"/>
      <c r="AC683" s="34" t="n"/>
      <c r="AD683" s="34" t="n"/>
      <c r="AE683" s="34" t="n"/>
      <c r="AF683" s="34" t="n"/>
      <c r="AG683" s="34" t="n"/>
      <c r="AH683" s="34" t="n"/>
      <c r="AI683" s="34" t="n"/>
    </row>
    <row r="684" ht="14.25" customHeight="1" s="35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  <c r="AA684" s="34" t="n"/>
      <c r="AB684" s="34" t="n"/>
      <c r="AC684" s="34" t="n"/>
      <c r="AD684" s="34" t="n"/>
      <c r="AE684" s="34" t="n"/>
      <c r="AF684" s="34" t="n"/>
      <c r="AG684" s="34" t="n"/>
      <c r="AH684" s="34" t="n"/>
      <c r="AI684" s="34" t="n"/>
    </row>
    <row r="685" ht="14.25" customHeight="1" s="3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  <c r="AA685" s="34" t="n"/>
      <c r="AB685" s="34" t="n"/>
      <c r="AC685" s="34" t="n"/>
      <c r="AD685" s="34" t="n"/>
      <c r="AE685" s="34" t="n"/>
      <c r="AF685" s="34" t="n"/>
      <c r="AG685" s="34" t="n"/>
      <c r="AH685" s="34" t="n"/>
      <c r="AI685" s="34" t="n"/>
    </row>
    <row r="686" ht="14.25" customHeight="1" s="35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  <c r="AA686" s="34" t="n"/>
      <c r="AB686" s="34" t="n"/>
      <c r="AC686" s="34" t="n"/>
      <c r="AD686" s="34" t="n"/>
      <c r="AE686" s="34" t="n"/>
      <c r="AF686" s="34" t="n"/>
      <c r="AG686" s="34" t="n"/>
      <c r="AH686" s="34" t="n"/>
      <c r="AI686" s="34" t="n"/>
    </row>
    <row r="687" ht="14.25" customHeight="1" s="35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  <c r="AA687" s="34" t="n"/>
      <c r="AB687" s="34" t="n"/>
      <c r="AC687" s="34" t="n"/>
      <c r="AD687" s="34" t="n"/>
      <c r="AE687" s="34" t="n"/>
      <c r="AF687" s="34" t="n"/>
      <c r="AG687" s="34" t="n"/>
      <c r="AH687" s="34" t="n"/>
      <c r="AI687" s="34" t="n"/>
    </row>
    <row r="688" ht="14.25" customHeight="1" s="35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  <c r="AA688" s="34" t="n"/>
      <c r="AB688" s="34" t="n"/>
      <c r="AC688" s="34" t="n"/>
      <c r="AD688" s="34" t="n"/>
      <c r="AE688" s="34" t="n"/>
      <c r="AF688" s="34" t="n"/>
      <c r="AG688" s="34" t="n"/>
      <c r="AH688" s="34" t="n"/>
      <c r="AI688" s="34" t="n"/>
    </row>
    <row r="689" ht="14.25" customHeight="1" s="35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  <c r="AA689" s="34" t="n"/>
      <c r="AB689" s="34" t="n"/>
      <c r="AC689" s="34" t="n"/>
      <c r="AD689" s="34" t="n"/>
      <c r="AE689" s="34" t="n"/>
      <c r="AF689" s="34" t="n"/>
      <c r="AG689" s="34" t="n"/>
      <c r="AH689" s="34" t="n"/>
      <c r="AI689" s="34" t="n"/>
    </row>
    <row r="690" ht="14.25" customHeight="1" s="35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  <c r="AA690" s="34" t="n"/>
      <c r="AB690" s="34" t="n"/>
      <c r="AC690" s="34" t="n"/>
      <c r="AD690" s="34" t="n"/>
      <c r="AE690" s="34" t="n"/>
      <c r="AF690" s="34" t="n"/>
      <c r="AG690" s="34" t="n"/>
      <c r="AH690" s="34" t="n"/>
      <c r="AI690" s="34" t="n"/>
    </row>
    <row r="691" ht="14.25" customHeight="1" s="35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  <c r="AA691" s="34" t="n"/>
      <c r="AB691" s="34" t="n"/>
      <c r="AC691" s="34" t="n"/>
      <c r="AD691" s="34" t="n"/>
      <c r="AE691" s="34" t="n"/>
      <c r="AF691" s="34" t="n"/>
      <c r="AG691" s="34" t="n"/>
      <c r="AH691" s="34" t="n"/>
      <c r="AI691" s="34" t="n"/>
    </row>
    <row r="692" ht="14.25" customHeight="1" s="35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  <c r="AA692" s="34" t="n"/>
      <c r="AB692" s="34" t="n"/>
      <c r="AC692" s="34" t="n"/>
      <c r="AD692" s="34" t="n"/>
      <c r="AE692" s="34" t="n"/>
      <c r="AF692" s="34" t="n"/>
      <c r="AG692" s="34" t="n"/>
      <c r="AH692" s="34" t="n"/>
      <c r="AI692" s="34" t="n"/>
    </row>
    <row r="693" ht="14.25" customHeight="1" s="35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  <c r="AA693" s="34" t="n"/>
      <c r="AB693" s="34" t="n"/>
      <c r="AC693" s="34" t="n"/>
      <c r="AD693" s="34" t="n"/>
      <c r="AE693" s="34" t="n"/>
      <c r="AF693" s="34" t="n"/>
      <c r="AG693" s="34" t="n"/>
      <c r="AH693" s="34" t="n"/>
      <c r="AI693" s="34" t="n"/>
    </row>
    <row r="694" ht="14.25" customHeight="1" s="35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  <c r="AA694" s="34" t="n"/>
      <c r="AB694" s="34" t="n"/>
      <c r="AC694" s="34" t="n"/>
      <c r="AD694" s="34" t="n"/>
      <c r="AE694" s="34" t="n"/>
      <c r="AF694" s="34" t="n"/>
      <c r="AG694" s="34" t="n"/>
      <c r="AH694" s="34" t="n"/>
      <c r="AI694" s="34" t="n"/>
    </row>
    <row r="695" ht="14.25" customHeight="1" s="3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  <c r="AA695" s="34" t="n"/>
      <c r="AB695" s="34" t="n"/>
      <c r="AC695" s="34" t="n"/>
      <c r="AD695" s="34" t="n"/>
      <c r="AE695" s="34" t="n"/>
      <c r="AF695" s="34" t="n"/>
      <c r="AG695" s="34" t="n"/>
      <c r="AH695" s="34" t="n"/>
      <c r="AI695" s="34" t="n"/>
    </row>
    <row r="696" ht="14.25" customHeight="1" s="35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  <c r="AA696" s="34" t="n"/>
      <c r="AB696" s="34" t="n"/>
      <c r="AC696" s="34" t="n"/>
      <c r="AD696" s="34" t="n"/>
      <c r="AE696" s="34" t="n"/>
      <c r="AF696" s="34" t="n"/>
      <c r="AG696" s="34" t="n"/>
      <c r="AH696" s="34" t="n"/>
      <c r="AI696" s="34" t="n"/>
    </row>
    <row r="697" ht="14.25" customHeight="1" s="35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  <c r="AA697" s="34" t="n"/>
      <c r="AB697" s="34" t="n"/>
      <c r="AC697" s="34" t="n"/>
      <c r="AD697" s="34" t="n"/>
      <c r="AE697" s="34" t="n"/>
      <c r="AF697" s="34" t="n"/>
      <c r="AG697" s="34" t="n"/>
      <c r="AH697" s="34" t="n"/>
      <c r="AI697" s="34" t="n"/>
    </row>
    <row r="698" ht="14.25" customHeight="1" s="35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  <c r="AA698" s="34" t="n"/>
      <c r="AB698" s="34" t="n"/>
      <c r="AC698" s="34" t="n"/>
      <c r="AD698" s="34" t="n"/>
      <c r="AE698" s="34" t="n"/>
      <c r="AF698" s="34" t="n"/>
      <c r="AG698" s="34" t="n"/>
      <c r="AH698" s="34" t="n"/>
      <c r="AI698" s="34" t="n"/>
    </row>
    <row r="699" ht="14.25" customHeight="1" s="35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  <c r="AA699" s="34" t="n"/>
      <c r="AB699" s="34" t="n"/>
      <c r="AC699" s="34" t="n"/>
      <c r="AD699" s="34" t="n"/>
      <c r="AE699" s="34" t="n"/>
      <c r="AF699" s="34" t="n"/>
      <c r="AG699" s="34" t="n"/>
      <c r="AH699" s="34" t="n"/>
      <c r="AI699" s="34" t="n"/>
    </row>
    <row r="700" ht="14.25" customHeight="1" s="35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  <c r="AA700" s="34" t="n"/>
      <c r="AB700" s="34" t="n"/>
      <c r="AC700" s="34" t="n"/>
      <c r="AD700" s="34" t="n"/>
      <c r="AE700" s="34" t="n"/>
      <c r="AF700" s="34" t="n"/>
      <c r="AG700" s="34" t="n"/>
      <c r="AH700" s="34" t="n"/>
      <c r="AI700" s="34" t="n"/>
    </row>
    <row r="701" ht="14.25" customHeight="1" s="35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  <c r="AA701" s="34" t="n"/>
      <c r="AB701" s="34" t="n"/>
      <c r="AC701" s="34" t="n"/>
      <c r="AD701" s="34" t="n"/>
      <c r="AE701" s="34" t="n"/>
      <c r="AF701" s="34" t="n"/>
      <c r="AG701" s="34" t="n"/>
      <c r="AH701" s="34" t="n"/>
      <c r="AI701" s="34" t="n"/>
    </row>
    <row r="702" ht="14.25" customHeight="1" s="35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  <c r="AA702" s="34" t="n"/>
      <c r="AB702" s="34" t="n"/>
      <c r="AC702" s="34" t="n"/>
      <c r="AD702" s="34" t="n"/>
      <c r="AE702" s="34" t="n"/>
      <c r="AF702" s="34" t="n"/>
      <c r="AG702" s="34" t="n"/>
      <c r="AH702" s="34" t="n"/>
      <c r="AI702" s="34" t="n"/>
    </row>
    <row r="703" ht="14.25" customHeight="1" s="35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  <c r="AA703" s="34" t="n"/>
      <c r="AB703" s="34" t="n"/>
      <c r="AC703" s="34" t="n"/>
      <c r="AD703" s="34" t="n"/>
      <c r="AE703" s="34" t="n"/>
      <c r="AF703" s="34" t="n"/>
      <c r="AG703" s="34" t="n"/>
      <c r="AH703" s="34" t="n"/>
      <c r="AI703" s="34" t="n"/>
    </row>
    <row r="704" ht="14.25" customHeight="1" s="35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  <c r="AA704" s="34" t="n"/>
      <c r="AB704" s="34" t="n"/>
      <c r="AC704" s="34" t="n"/>
      <c r="AD704" s="34" t="n"/>
      <c r="AE704" s="34" t="n"/>
      <c r="AF704" s="34" t="n"/>
      <c r="AG704" s="34" t="n"/>
      <c r="AH704" s="34" t="n"/>
      <c r="AI704" s="34" t="n"/>
    </row>
    <row r="705" ht="14.25" customHeight="1" s="3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  <c r="AA705" s="34" t="n"/>
      <c r="AB705" s="34" t="n"/>
      <c r="AC705" s="34" t="n"/>
      <c r="AD705" s="34" t="n"/>
      <c r="AE705" s="34" t="n"/>
      <c r="AF705" s="34" t="n"/>
      <c r="AG705" s="34" t="n"/>
      <c r="AH705" s="34" t="n"/>
      <c r="AI705" s="34" t="n"/>
    </row>
    <row r="706" ht="14.25" customHeight="1" s="35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  <c r="AA706" s="34" t="n"/>
      <c r="AB706" s="34" t="n"/>
      <c r="AC706" s="34" t="n"/>
      <c r="AD706" s="34" t="n"/>
      <c r="AE706" s="34" t="n"/>
      <c r="AF706" s="34" t="n"/>
      <c r="AG706" s="34" t="n"/>
      <c r="AH706" s="34" t="n"/>
      <c r="AI706" s="34" t="n"/>
    </row>
    <row r="707" ht="14.25" customHeight="1" s="35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  <c r="AA707" s="34" t="n"/>
      <c r="AB707" s="34" t="n"/>
      <c r="AC707" s="34" t="n"/>
      <c r="AD707" s="34" t="n"/>
      <c r="AE707" s="34" t="n"/>
      <c r="AF707" s="34" t="n"/>
      <c r="AG707" s="34" t="n"/>
      <c r="AH707" s="34" t="n"/>
      <c r="AI707" s="34" t="n"/>
    </row>
    <row r="708" ht="14.25" customHeight="1" s="35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  <c r="AA708" s="34" t="n"/>
      <c r="AB708" s="34" t="n"/>
      <c r="AC708" s="34" t="n"/>
      <c r="AD708" s="34" t="n"/>
      <c r="AE708" s="34" t="n"/>
      <c r="AF708" s="34" t="n"/>
      <c r="AG708" s="34" t="n"/>
      <c r="AH708" s="34" t="n"/>
      <c r="AI708" s="34" t="n"/>
    </row>
    <row r="709" ht="14.25" customHeight="1" s="35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  <c r="AA709" s="34" t="n"/>
      <c r="AB709" s="34" t="n"/>
      <c r="AC709" s="34" t="n"/>
      <c r="AD709" s="34" t="n"/>
      <c r="AE709" s="34" t="n"/>
      <c r="AF709" s="34" t="n"/>
      <c r="AG709" s="34" t="n"/>
      <c r="AH709" s="34" t="n"/>
      <c r="AI709" s="34" t="n"/>
    </row>
    <row r="710" ht="14.25" customHeight="1" s="35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  <c r="AA710" s="34" t="n"/>
      <c r="AB710" s="34" t="n"/>
      <c r="AC710" s="34" t="n"/>
      <c r="AD710" s="34" t="n"/>
      <c r="AE710" s="34" t="n"/>
      <c r="AF710" s="34" t="n"/>
      <c r="AG710" s="34" t="n"/>
      <c r="AH710" s="34" t="n"/>
      <c r="AI710" s="34" t="n"/>
    </row>
    <row r="711" ht="14.25" customHeight="1" s="35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  <c r="AA711" s="34" t="n"/>
      <c r="AB711" s="34" t="n"/>
      <c r="AC711" s="34" t="n"/>
      <c r="AD711" s="34" t="n"/>
      <c r="AE711" s="34" t="n"/>
      <c r="AF711" s="34" t="n"/>
      <c r="AG711" s="34" t="n"/>
      <c r="AH711" s="34" t="n"/>
      <c r="AI711" s="34" t="n"/>
    </row>
    <row r="712" ht="14.25" customHeight="1" s="35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  <c r="AA712" s="34" t="n"/>
      <c r="AB712" s="34" t="n"/>
      <c r="AC712" s="34" t="n"/>
      <c r="AD712" s="34" t="n"/>
      <c r="AE712" s="34" t="n"/>
      <c r="AF712" s="34" t="n"/>
      <c r="AG712" s="34" t="n"/>
      <c r="AH712" s="34" t="n"/>
      <c r="AI712" s="34" t="n"/>
    </row>
    <row r="713" ht="14.25" customHeight="1" s="35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  <c r="AA713" s="34" t="n"/>
      <c r="AB713" s="34" t="n"/>
      <c r="AC713" s="34" t="n"/>
      <c r="AD713" s="34" t="n"/>
      <c r="AE713" s="34" t="n"/>
      <c r="AF713" s="34" t="n"/>
      <c r="AG713" s="34" t="n"/>
      <c r="AH713" s="34" t="n"/>
      <c r="AI713" s="34" t="n"/>
    </row>
    <row r="714" ht="14.25" customHeight="1" s="35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  <c r="AA714" s="34" t="n"/>
      <c r="AB714" s="34" t="n"/>
      <c r="AC714" s="34" t="n"/>
      <c r="AD714" s="34" t="n"/>
      <c r="AE714" s="34" t="n"/>
      <c r="AF714" s="34" t="n"/>
      <c r="AG714" s="34" t="n"/>
      <c r="AH714" s="34" t="n"/>
      <c r="AI714" s="34" t="n"/>
    </row>
    <row r="715" ht="14.25" customHeight="1" s="3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  <c r="AA715" s="34" t="n"/>
      <c r="AB715" s="34" t="n"/>
      <c r="AC715" s="34" t="n"/>
      <c r="AD715" s="34" t="n"/>
      <c r="AE715" s="34" t="n"/>
      <c r="AF715" s="34" t="n"/>
      <c r="AG715" s="34" t="n"/>
      <c r="AH715" s="34" t="n"/>
      <c r="AI715" s="34" t="n"/>
    </row>
    <row r="716" ht="14.25" customHeight="1" s="35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  <c r="AA716" s="34" t="n"/>
      <c r="AB716" s="34" t="n"/>
      <c r="AC716" s="34" t="n"/>
      <c r="AD716" s="34" t="n"/>
      <c r="AE716" s="34" t="n"/>
      <c r="AF716" s="34" t="n"/>
      <c r="AG716" s="34" t="n"/>
      <c r="AH716" s="34" t="n"/>
      <c r="AI716" s="34" t="n"/>
    </row>
    <row r="717" ht="14.25" customHeight="1" s="35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  <c r="AA717" s="34" t="n"/>
      <c r="AB717" s="34" t="n"/>
      <c r="AC717" s="34" t="n"/>
      <c r="AD717" s="34" t="n"/>
      <c r="AE717" s="34" t="n"/>
      <c r="AF717" s="34" t="n"/>
      <c r="AG717" s="34" t="n"/>
      <c r="AH717" s="34" t="n"/>
      <c r="AI717" s="34" t="n"/>
    </row>
    <row r="718" ht="14.25" customHeight="1" s="35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  <c r="AA718" s="34" t="n"/>
      <c r="AB718" s="34" t="n"/>
      <c r="AC718" s="34" t="n"/>
      <c r="AD718" s="34" t="n"/>
      <c r="AE718" s="34" t="n"/>
      <c r="AF718" s="34" t="n"/>
      <c r="AG718" s="34" t="n"/>
      <c r="AH718" s="34" t="n"/>
      <c r="AI718" s="34" t="n"/>
    </row>
    <row r="719" ht="14.25" customHeight="1" s="35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  <c r="AA719" s="34" t="n"/>
      <c r="AB719" s="34" t="n"/>
      <c r="AC719" s="34" t="n"/>
      <c r="AD719" s="34" t="n"/>
      <c r="AE719" s="34" t="n"/>
      <c r="AF719" s="34" t="n"/>
      <c r="AG719" s="34" t="n"/>
      <c r="AH719" s="34" t="n"/>
      <c r="AI719" s="34" t="n"/>
    </row>
    <row r="720" ht="14.25" customHeight="1" s="35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  <c r="AA720" s="34" t="n"/>
      <c r="AB720" s="34" t="n"/>
      <c r="AC720" s="34" t="n"/>
      <c r="AD720" s="34" t="n"/>
      <c r="AE720" s="34" t="n"/>
      <c r="AF720" s="34" t="n"/>
      <c r="AG720" s="34" t="n"/>
      <c r="AH720" s="34" t="n"/>
      <c r="AI720" s="34" t="n"/>
    </row>
    <row r="721" ht="14.25" customHeight="1" s="35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  <c r="AA721" s="34" t="n"/>
      <c r="AB721" s="34" t="n"/>
      <c r="AC721" s="34" t="n"/>
      <c r="AD721" s="34" t="n"/>
      <c r="AE721" s="34" t="n"/>
      <c r="AF721" s="34" t="n"/>
      <c r="AG721" s="34" t="n"/>
      <c r="AH721" s="34" t="n"/>
      <c r="AI721" s="34" t="n"/>
    </row>
    <row r="722" ht="14.25" customHeight="1" s="35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  <c r="AA722" s="34" t="n"/>
      <c r="AB722" s="34" t="n"/>
      <c r="AC722" s="34" t="n"/>
      <c r="AD722" s="34" t="n"/>
      <c r="AE722" s="34" t="n"/>
      <c r="AF722" s="34" t="n"/>
      <c r="AG722" s="34" t="n"/>
      <c r="AH722" s="34" t="n"/>
      <c r="AI722" s="34" t="n"/>
    </row>
    <row r="723" ht="14.25" customHeight="1" s="35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  <c r="AA723" s="34" t="n"/>
      <c r="AB723" s="34" t="n"/>
      <c r="AC723" s="34" t="n"/>
      <c r="AD723" s="34" t="n"/>
      <c r="AE723" s="34" t="n"/>
      <c r="AF723" s="34" t="n"/>
      <c r="AG723" s="34" t="n"/>
      <c r="AH723" s="34" t="n"/>
      <c r="AI723" s="34" t="n"/>
    </row>
    <row r="724" ht="14.25" customHeight="1" s="35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  <c r="AA724" s="34" t="n"/>
      <c r="AB724" s="34" t="n"/>
      <c r="AC724" s="34" t="n"/>
      <c r="AD724" s="34" t="n"/>
      <c r="AE724" s="34" t="n"/>
      <c r="AF724" s="34" t="n"/>
      <c r="AG724" s="34" t="n"/>
      <c r="AH724" s="34" t="n"/>
      <c r="AI724" s="34" t="n"/>
    </row>
    <row r="725" ht="14.25" customHeight="1" s="3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  <c r="AA725" s="34" t="n"/>
      <c r="AB725" s="34" t="n"/>
      <c r="AC725" s="34" t="n"/>
      <c r="AD725" s="34" t="n"/>
      <c r="AE725" s="34" t="n"/>
      <c r="AF725" s="34" t="n"/>
      <c r="AG725" s="34" t="n"/>
      <c r="AH725" s="34" t="n"/>
      <c r="AI725" s="34" t="n"/>
    </row>
    <row r="726" ht="14.25" customHeight="1" s="35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  <c r="AA726" s="34" t="n"/>
      <c r="AB726" s="34" t="n"/>
      <c r="AC726" s="34" t="n"/>
      <c r="AD726" s="34" t="n"/>
      <c r="AE726" s="34" t="n"/>
      <c r="AF726" s="34" t="n"/>
      <c r="AG726" s="34" t="n"/>
      <c r="AH726" s="34" t="n"/>
      <c r="AI726" s="34" t="n"/>
    </row>
    <row r="727" ht="14.25" customHeight="1" s="35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  <c r="AA727" s="34" t="n"/>
      <c r="AB727" s="34" t="n"/>
      <c r="AC727" s="34" t="n"/>
      <c r="AD727" s="34" t="n"/>
      <c r="AE727" s="34" t="n"/>
      <c r="AF727" s="34" t="n"/>
      <c r="AG727" s="34" t="n"/>
      <c r="AH727" s="34" t="n"/>
      <c r="AI727" s="34" t="n"/>
    </row>
    <row r="728" ht="14.25" customHeight="1" s="35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  <c r="AA728" s="34" t="n"/>
      <c r="AB728" s="34" t="n"/>
      <c r="AC728" s="34" t="n"/>
      <c r="AD728" s="34" t="n"/>
      <c r="AE728" s="34" t="n"/>
      <c r="AF728" s="34" t="n"/>
      <c r="AG728" s="34" t="n"/>
      <c r="AH728" s="34" t="n"/>
      <c r="AI728" s="34" t="n"/>
    </row>
    <row r="729" ht="14.25" customHeight="1" s="35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  <c r="AA729" s="34" t="n"/>
      <c r="AB729" s="34" t="n"/>
      <c r="AC729" s="34" t="n"/>
      <c r="AD729" s="34" t="n"/>
      <c r="AE729" s="34" t="n"/>
      <c r="AF729" s="34" t="n"/>
      <c r="AG729" s="34" t="n"/>
      <c r="AH729" s="34" t="n"/>
      <c r="AI729" s="34" t="n"/>
    </row>
    <row r="730" ht="14.25" customHeight="1" s="35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  <c r="AA730" s="34" t="n"/>
      <c r="AB730" s="34" t="n"/>
      <c r="AC730" s="34" t="n"/>
      <c r="AD730" s="34" t="n"/>
      <c r="AE730" s="34" t="n"/>
      <c r="AF730" s="34" t="n"/>
      <c r="AG730" s="34" t="n"/>
      <c r="AH730" s="34" t="n"/>
      <c r="AI730" s="34" t="n"/>
    </row>
    <row r="731" ht="14.25" customHeight="1" s="35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  <c r="AA731" s="34" t="n"/>
      <c r="AB731" s="34" t="n"/>
      <c r="AC731" s="34" t="n"/>
      <c r="AD731" s="34" t="n"/>
      <c r="AE731" s="34" t="n"/>
      <c r="AF731" s="34" t="n"/>
      <c r="AG731" s="34" t="n"/>
      <c r="AH731" s="34" t="n"/>
      <c r="AI731" s="34" t="n"/>
    </row>
    <row r="732" ht="14.25" customHeight="1" s="35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  <c r="AA732" s="34" t="n"/>
      <c r="AB732" s="34" t="n"/>
      <c r="AC732" s="34" t="n"/>
      <c r="AD732" s="34" t="n"/>
      <c r="AE732" s="34" t="n"/>
      <c r="AF732" s="34" t="n"/>
      <c r="AG732" s="34" t="n"/>
      <c r="AH732" s="34" t="n"/>
      <c r="AI732" s="34" t="n"/>
    </row>
    <row r="733" ht="14.25" customHeight="1" s="35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  <c r="AA733" s="34" t="n"/>
      <c r="AB733" s="34" t="n"/>
      <c r="AC733" s="34" t="n"/>
      <c r="AD733" s="34" t="n"/>
      <c r="AE733" s="34" t="n"/>
      <c r="AF733" s="34" t="n"/>
      <c r="AG733" s="34" t="n"/>
      <c r="AH733" s="34" t="n"/>
      <c r="AI733" s="34" t="n"/>
    </row>
    <row r="734" ht="14.25" customHeight="1" s="35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  <c r="AA734" s="34" t="n"/>
      <c r="AB734" s="34" t="n"/>
      <c r="AC734" s="34" t="n"/>
      <c r="AD734" s="34" t="n"/>
      <c r="AE734" s="34" t="n"/>
      <c r="AF734" s="34" t="n"/>
      <c r="AG734" s="34" t="n"/>
      <c r="AH734" s="34" t="n"/>
      <c r="AI734" s="34" t="n"/>
    </row>
    <row r="735" ht="14.25" customHeight="1" s="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  <c r="AA735" s="34" t="n"/>
      <c r="AB735" s="34" t="n"/>
      <c r="AC735" s="34" t="n"/>
      <c r="AD735" s="34" t="n"/>
      <c r="AE735" s="34" t="n"/>
      <c r="AF735" s="34" t="n"/>
      <c r="AG735" s="34" t="n"/>
      <c r="AH735" s="34" t="n"/>
      <c r="AI735" s="34" t="n"/>
    </row>
    <row r="736" ht="14.25" customHeight="1" s="35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  <c r="AA736" s="34" t="n"/>
      <c r="AB736" s="34" t="n"/>
      <c r="AC736" s="34" t="n"/>
      <c r="AD736" s="34" t="n"/>
      <c r="AE736" s="34" t="n"/>
      <c r="AF736" s="34" t="n"/>
      <c r="AG736" s="34" t="n"/>
      <c r="AH736" s="34" t="n"/>
      <c r="AI736" s="34" t="n"/>
    </row>
    <row r="737" ht="14.25" customHeight="1" s="35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  <c r="AA737" s="34" t="n"/>
      <c r="AB737" s="34" t="n"/>
      <c r="AC737" s="34" t="n"/>
      <c r="AD737" s="34" t="n"/>
      <c r="AE737" s="34" t="n"/>
      <c r="AF737" s="34" t="n"/>
      <c r="AG737" s="34" t="n"/>
      <c r="AH737" s="34" t="n"/>
      <c r="AI737" s="34" t="n"/>
    </row>
    <row r="738" ht="14.25" customHeight="1" s="35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  <c r="AA738" s="34" t="n"/>
      <c r="AB738" s="34" t="n"/>
      <c r="AC738" s="34" t="n"/>
      <c r="AD738" s="34" t="n"/>
      <c r="AE738" s="34" t="n"/>
      <c r="AF738" s="34" t="n"/>
      <c r="AG738" s="34" t="n"/>
      <c r="AH738" s="34" t="n"/>
      <c r="AI738" s="34" t="n"/>
    </row>
    <row r="739" ht="14.25" customHeight="1" s="35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  <c r="AA739" s="34" t="n"/>
      <c r="AB739" s="34" t="n"/>
      <c r="AC739" s="34" t="n"/>
      <c r="AD739" s="34" t="n"/>
      <c r="AE739" s="34" t="n"/>
      <c r="AF739" s="34" t="n"/>
      <c r="AG739" s="34" t="n"/>
      <c r="AH739" s="34" t="n"/>
      <c r="AI739" s="34" t="n"/>
    </row>
    <row r="740" ht="14.25" customHeight="1" s="35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  <c r="AA740" s="34" t="n"/>
      <c r="AB740" s="34" t="n"/>
      <c r="AC740" s="34" t="n"/>
      <c r="AD740" s="34" t="n"/>
      <c r="AE740" s="34" t="n"/>
      <c r="AF740" s="34" t="n"/>
      <c r="AG740" s="34" t="n"/>
      <c r="AH740" s="34" t="n"/>
      <c r="AI740" s="34" t="n"/>
    </row>
    <row r="741" ht="14.25" customHeight="1" s="35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  <c r="AA741" s="34" t="n"/>
      <c r="AB741" s="34" t="n"/>
      <c r="AC741" s="34" t="n"/>
      <c r="AD741" s="34" t="n"/>
      <c r="AE741" s="34" t="n"/>
      <c r="AF741" s="34" t="n"/>
      <c r="AG741" s="34" t="n"/>
      <c r="AH741" s="34" t="n"/>
      <c r="AI741" s="34" t="n"/>
    </row>
    <row r="742" ht="14.25" customHeight="1" s="35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  <c r="AA742" s="34" t="n"/>
      <c r="AB742" s="34" t="n"/>
      <c r="AC742" s="34" t="n"/>
      <c r="AD742" s="34" t="n"/>
      <c r="AE742" s="34" t="n"/>
      <c r="AF742" s="34" t="n"/>
      <c r="AG742" s="34" t="n"/>
      <c r="AH742" s="34" t="n"/>
      <c r="AI742" s="34" t="n"/>
    </row>
    <row r="743" ht="14.25" customHeight="1" s="35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  <c r="AA743" s="34" t="n"/>
      <c r="AB743" s="34" t="n"/>
      <c r="AC743" s="34" t="n"/>
      <c r="AD743" s="34" t="n"/>
      <c r="AE743" s="34" t="n"/>
      <c r="AF743" s="34" t="n"/>
      <c r="AG743" s="34" t="n"/>
      <c r="AH743" s="34" t="n"/>
      <c r="AI743" s="34" t="n"/>
    </row>
    <row r="744" ht="14.25" customHeight="1" s="35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  <c r="AA744" s="34" t="n"/>
      <c r="AB744" s="34" t="n"/>
      <c r="AC744" s="34" t="n"/>
      <c r="AD744" s="34" t="n"/>
      <c r="AE744" s="34" t="n"/>
      <c r="AF744" s="34" t="n"/>
      <c r="AG744" s="34" t="n"/>
      <c r="AH744" s="34" t="n"/>
      <c r="AI744" s="34" t="n"/>
    </row>
    <row r="745" ht="14.25" customHeight="1" s="3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  <c r="AA745" s="34" t="n"/>
      <c r="AB745" s="34" t="n"/>
      <c r="AC745" s="34" t="n"/>
      <c r="AD745" s="34" t="n"/>
      <c r="AE745" s="34" t="n"/>
      <c r="AF745" s="34" t="n"/>
      <c r="AG745" s="34" t="n"/>
      <c r="AH745" s="34" t="n"/>
      <c r="AI745" s="34" t="n"/>
    </row>
    <row r="746" ht="14.25" customHeight="1" s="35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  <c r="AA746" s="34" t="n"/>
      <c r="AB746" s="34" t="n"/>
      <c r="AC746" s="34" t="n"/>
      <c r="AD746" s="34" t="n"/>
      <c r="AE746" s="34" t="n"/>
      <c r="AF746" s="34" t="n"/>
      <c r="AG746" s="34" t="n"/>
      <c r="AH746" s="34" t="n"/>
      <c r="AI746" s="34" t="n"/>
    </row>
    <row r="747" ht="14.25" customHeight="1" s="35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  <c r="AA747" s="34" t="n"/>
      <c r="AB747" s="34" t="n"/>
      <c r="AC747" s="34" t="n"/>
      <c r="AD747" s="34" t="n"/>
      <c r="AE747" s="34" t="n"/>
      <c r="AF747" s="34" t="n"/>
      <c r="AG747" s="34" t="n"/>
      <c r="AH747" s="34" t="n"/>
      <c r="AI747" s="34" t="n"/>
    </row>
    <row r="748" ht="14.25" customHeight="1" s="35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  <c r="AA748" s="34" t="n"/>
      <c r="AB748" s="34" t="n"/>
      <c r="AC748" s="34" t="n"/>
      <c r="AD748" s="34" t="n"/>
      <c r="AE748" s="34" t="n"/>
      <c r="AF748" s="34" t="n"/>
      <c r="AG748" s="34" t="n"/>
      <c r="AH748" s="34" t="n"/>
      <c r="AI748" s="34" t="n"/>
    </row>
    <row r="749" ht="14.25" customHeight="1" s="35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  <c r="AA749" s="34" t="n"/>
      <c r="AB749" s="34" t="n"/>
      <c r="AC749" s="34" t="n"/>
      <c r="AD749" s="34" t="n"/>
      <c r="AE749" s="34" t="n"/>
      <c r="AF749" s="34" t="n"/>
      <c r="AG749" s="34" t="n"/>
      <c r="AH749" s="34" t="n"/>
      <c r="AI749" s="34" t="n"/>
    </row>
    <row r="750" ht="14.25" customHeight="1" s="35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  <c r="AA750" s="34" t="n"/>
      <c r="AB750" s="34" t="n"/>
      <c r="AC750" s="34" t="n"/>
      <c r="AD750" s="34" t="n"/>
      <c r="AE750" s="34" t="n"/>
      <c r="AF750" s="34" t="n"/>
      <c r="AG750" s="34" t="n"/>
      <c r="AH750" s="34" t="n"/>
      <c r="AI750" s="34" t="n"/>
    </row>
    <row r="751" ht="14.25" customHeight="1" s="35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  <c r="AA751" s="34" t="n"/>
      <c r="AB751" s="34" t="n"/>
      <c r="AC751" s="34" t="n"/>
      <c r="AD751" s="34" t="n"/>
      <c r="AE751" s="34" t="n"/>
      <c r="AF751" s="34" t="n"/>
      <c r="AG751" s="34" t="n"/>
      <c r="AH751" s="34" t="n"/>
      <c r="AI751" s="34" t="n"/>
    </row>
    <row r="752" ht="14.25" customHeight="1" s="35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  <c r="AA752" s="34" t="n"/>
      <c r="AB752" s="34" t="n"/>
      <c r="AC752" s="34" t="n"/>
      <c r="AD752" s="34" t="n"/>
      <c r="AE752" s="34" t="n"/>
      <c r="AF752" s="34" t="n"/>
      <c r="AG752" s="34" t="n"/>
      <c r="AH752" s="34" t="n"/>
      <c r="AI752" s="34" t="n"/>
    </row>
    <row r="753" ht="14.25" customHeight="1" s="35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  <c r="AA753" s="34" t="n"/>
      <c r="AB753" s="34" t="n"/>
      <c r="AC753" s="34" t="n"/>
      <c r="AD753" s="34" t="n"/>
      <c r="AE753" s="34" t="n"/>
      <c r="AF753" s="34" t="n"/>
      <c r="AG753" s="34" t="n"/>
      <c r="AH753" s="34" t="n"/>
      <c r="AI753" s="34" t="n"/>
    </row>
    <row r="754" ht="14.25" customHeight="1" s="35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  <c r="AA754" s="34" t="n"/>
      <c r="AB754" s="34" t="n"/>
      <c r="AC754" s="34" t="n"/>
      <c r="AD754" s="34" t="n"/>
      <c r="AE754" s="34" t="n"/>
      <c r="AF754" s="34" t="n"/>
      <c r="AG754" s="34" t="n"/>
      <c r="AH754" s="34" t="n"/>
      <c r="AI754" s="34" t="n"/>
    </row>
    <row r="755" ht="14.25" customHeight="1" s="3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  <c r="AA755" s="34" t="n"/>
      <c r="AB755" s="34" t="n"/>
      <c r="AC755" s="34" t="n"/>
      <c r="AD755" s="34" t="n"/>
      <c r="AE755" s="34" t="n"/>
      <c r="AF755" s="34" t="n"/>
      <c r="AG755" s="34" t="n"/>
      <c r="AH755" s="34" t="n"/>
      <c r="AI755" s="34" t="n"/>
    </row>
    <row r="756" ht="14.25" customHeight="1" s="35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  <c r="AA756" s="34" t="n"/>
      <c r="AB756" s="34" t="n"/>
      <c r="AC756" s="34" t="n"/>
      <c r="AD756" s="34" t="n"/>
      <c r="AE756" s="34" t="n"/>
      <c r="AF756" s="34" t="n"/>
      <c r="AG756" s="34" t="n"/>
      <c r="AH756" s="34" t="n"/>
      <c r="AI756" s="34" t="n"/>
    </row>
    <row r="757" ht="14.25" customHeight="1" s="35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  <c r="AA757" s="34" t="n"/>
      <c r="AB757" s="34" t="n"/>
      <c r="AC757" s="34" t="n"/>
      <c r="AD757" s="34" t="n"/>
      <c r="AE757" s="34" t="n"/>
      <c r="AF757" s="34" t="n"/>
      <c r="AG757" s="34" t="n"/>
      <c r="AH757" s="34" t="n"/>
      <c r="AI757" s="34" t="n"/>
    </row>
    <row r="758" ht="14.25" customHeight="1" s="35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  <c r="AA758" s="34" t="n"/>
      <c r="AB758" s="34" t="n"/>
      <c r="AC758" s="34" t="n"/>
      <c r="AD758" s="34" t="n"/>
      <c r="AE758" s="34" t="n"/>
      <c r="AF758" s="34" t="n"/>
      <c r="AG758" s="34" t="n"/>
      <c r="AH758" s="34" t="n"/>
      <c r="AI758" s="34" t="n"/>
    </row>
    <row r="759" ht="14.25" customHeight="1" s="35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  <c r="AA759" s="34" t="n"/>
      <c r="AB759" s="34" t="n"/>
      <c r="AC759" s="34" t="n"/>
      <c r="AD759" s="34" t="n"/>
      <c r="AE759" s="34" t="n"/>
      <c r="AF759" s="34" t="n"/>
      <c r="AG759" s="34" t="n"/>
      <c r="AH759" s="34" t="n"/>
      <c r="AI759" s="34" t="n"/>
    </row>
    <row r="760" ht="14.25" customHeight="1" s="35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  <c r="AA760" s="34" t="n"/>
      <c r="AB760" s="34" t="n"/>
      <c r="AC760" s="34" t="n"/>
      <c r="AD760" s="34" t="n"/>
      <c r="AE760" s="34" t="n"/>
      <c r="AF760" s="34" t="n"/>
      <c r="AG760" s="34" t="n"/>
      <c r="AH760" s="34" t="n"/>
      <c r="AI760" s="34" t="n"/>
    </row>
    <row r="761" ht="14.25" customHeight="1" s="35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  <c r="AA761" s="34" t="n"/>
      <c r="AB761" s="34" t="n"/>
      <c r="AC761" s="34" t="n"/>
      <c r="AD761" s="34" t="n"/>
      <c r="AE761" s="34" t="n"/>
      <c r="AF761" s="34" t="n"/>
      <c r="AG761" s="34" t="n"/>
      <c r="AH761" s="34" t="n"/>
      <c r="AI761" s="34" t="n"/>
    </row>
    <row r="762" ht="14.25" customHeight="1" s="35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  <c r="AA762" s="34" t="n"/>
      <c r="AB762" s="34" t="n"/>
      <c r="AC762" s="34" t="n"/>
      <c r="AD762" s="34" t="n"/>
      <c r="AE762" s="34" t="n"/>
      <c r="AF762" s="34" t="n"/>
      <c r="AG762" s="34" t="n"/>
      <c r="AH762" s="34" t="n"/>
      <c r="AI762" s="34" t="n"/>
    </row>
    <row r="763" ht="14.25" customHeight="1" s="35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  <c r="AA763" s="34" t="n"/>
      <c r="AB763" s="34" t="n"/>
      <c r="AC763" s="34" t="n"/>
      <c r="AD763" s="34" t="n"/>
      <c r="AE763" s="34" t="n"/>
      <c r="AF763" s="34" t="n"/>
      <c r="AG763" s="34" t="n"/>
      <c r="AH763" s="34" t="n"/>
      <c r="AI763" s="34" t="n"/>
    </row>
    <row r="764" ht="14.25" customHeight="1" s="35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  <c r="AA764" s="34" t="n"/>
      <c r="AB764" s="34" t="n"/>
      <c r="AC764" s="34" t="n"/>
      <c r="AD764" s="34" t="n"/>
      <c r="AE764" s="34" t="n"/>
      <c r="AF764" s="34" t="n"/>
      <c r="AG764" s="34" t="n"/>
      <c r="AH764" s="34" t="n"/>
      <c r="AI764" s="34" t="n"/>
    </row>
    <row r="765" ht="14.25" customHeight="1" s="3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  <c r="AA765" s="34" t="n"/>
      <c r="AB765" s="34" t="n"/>
      <c r="AC765" s="34" t="n"/>
      <c r="AD765" s="34" t="n"/>
      <c r="AE765" s="34" t="n"/>
      <c r="AF765" s="34" t="n"/>
      <c r="AG765" s="34" t="n"/>
      <c r="AH765" s="34" t="n"/>
      <c r="AI765" s="34" t="n"/>
    </row>
    <row r="766" ht="14.25" customHeight="1" s="35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  <c r="AA766" s="34" t="n"/>
      <c r="AB766" s="34" t="n"/>
      <c r="AC766" s="34" t="n"/>
      <c r="AD766" s="34" t="n"/>
      <c r="AE766" s="34" t="n"/>
      <c r="AF766" s="34" t="n"/>
      <c r="AG766" s="34" t="n"/>
      <c r="AH766" s="34" t="n"/>
      <c r="AI766" s="34" t="n"/>
    </row>
    <row r="767" ht="14.25" customHeight="1" s="35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  <c r="AA767" s="34" t="n"/>
      <c r="AB767" s="34" t="n"/>
      <c r="AC767" s="34" t="n"/>
      <c r="AD767" s="34" t="n"/>
      <c r="AE767" s="34" t="n"/>
      <c r="AF767" s="34" t="n"/>
      <c r="AG767" s="34" t="n"/>
      <c r="AH767" s="34" t="n"/>
      <c r="AI767" s="34" t="n"/>
    </row>
    <row r="768" ht="14.25" customHeight="1" s="35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  <c r="AA768" s="34" t="n"/>
      <c r="AB768" s="34" t="n"/>
      <c r="AC768" s="34" t="n"/>
      <c r="AD768" s="34" t="n"/>
      <c r="AE768" s="34" t="n"/>
      <c r="AF768" s="34" t="n"/>
      <c r="AG768" s="34" t="n"/>
      <c r="AH768" s="34" t="n"/>
      <c r="AI768" s="34" t="n"/>
    </row>
    <row r="769" ht="14.25" customHeight="1" s="35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  <c r="AA769" s="34" t="n"/>
      <c r="AB769" s="34" t="n"/>
      <c r="AC769" s="34" t="n"/>
      <c r="AD769" s="34" t="n"/>
      <c r="AE769" s="34" t="n"/>
      <c r="AF769" s="34" t="n"/>
      <c r="AG769" s="34" t="n"/>
      <c r="AH769" s="34" t="n"/>
      <c r="AI769" s="34" t="n"/>
    </row>
    <row r="770" ht="14.25" customHeight="1" s="35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  <c r="AA770" s="34" t="n"/>
      <c r="AB770" s="34" t="n"/>
      <c r="AC770" s="34" t="n"/>
      <c r="AD770" s="34" t="n"/>
      <c r="AE770" s="34" t="n"/>
      <c r="AF770" s="34" t="n"/>
      <c r="AG770" s="34" t="n"/>
      <c r="AH770" s="34" t="n"/>
      <c r="AI770" s="34" t="n"/>
    </row>
    <row r="771" ht="14.25" customHeight="1" s="35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  <c r="AA771" s="34" t="n"/>
      <c r="AB771" s="34" t="n"/>
      <c r="AC771" s="34" t="n"/>
      <c r="AD771" s="34" t="n"/>
      <c r="AE771" s="34" t="n"/>
      <c r="AF771" s="34" t="n"/>
      <c r="AG771" s="34" t="n"/>
      <c r="AH771" s="34" t="n"/>
      <c r="AI771" s="34" t="n"/>
    </row>
    <row r="772" ht="14.25" customHeight="1" s="35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  <c r="AA772" s="34" t="n"/>
      <c r="AB772" s="34" t="n"/>
      <c r="AC772" s="34" t="n"/>
      <c r="AD772" s="34" t="n"/>
      <c r="AE772" s="34" t="n"/>
      <c r="AF772" s="34" t="n"/>
      <c r="AG772" s="34" t="n"/>
      <c r="AH772" s="34" t="n"/>
      <c r="AI772" s="34" t="n"/>
    </row>
    <row r="773" ht="14.25" customHeight="1" s="35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  <c r="AA773" s="34" t="n"/>
      <c r="AB773" s="34" t="n"/>
      <c r="AC773" s="34" t="n"/>
      <c r="AD773" s="34" t="n"/>
      <c r="AE773" s="34" t="n"/>
      <c r="AF773" s="34" t="n"/>
      <c r="AG773" s="34" t="n"/>
      <c r="AH773" s="34" t="n"/>
      <c r="AI773" s="34" t="n"/>
    </row>
    <row r="774" ht="14.25" customHeight="1" s="35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  <c r="AA774" s="34" t="n"/>
      <c r="AB774" s="34" t="n"/>
      <c r="AC774" s="34" t="n"/>
      <c r="AD774" s="34" t="n"/>
      <c r="AE774" s="34" t="n"/>
      <c r="AF774" s="34" t="n"/>
      <c r="AG774" s="34" t="n"/>
      <c r="AH774" s="34" t="n"/>
      <c r="AI774" s="34" t="n"/>
    </row>
    <row r="775" ht="14.25" customHeight="1" s="3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  <c r="AA775" s="34" t="n"/>
      <c r="AB775" s="34" t="n"/>
      <c r="AC775" s="34" t="n"/>
      <c r="AD775" s="34" t="n"/>
      <c r="AE775" s="34" t="n"/>
      <c r="AF775" s="34" t="n"/>
      <c r="AG775" s="34" t="n"/>
      <c r="AH775" s="34" t="n"/>
      <c r="AI775" s="34" t="n"/>
    </row>
    <row r="776" ht="14.25" customHeight="1" s="35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  <c r="AA776" s="34" t="n"/>
      <c r="AB776" s="34" t="n"/>
      <c r="AC776" s="34" t="n"/>
      <c r="AD776" s="34" t="n"/>
      <c r="AE776" s="34" t="n"/>
      <c r="AF776" s="34" t="n"/>
      <c r="AG776" s="34" t="n"/>
      <c r="AH776" s="34" t="n"/>
      <c r="AI776" s="34" t="n"/>
    </row>
    <row r="777" ht="14.25" customHeight="1" s="35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  <c r="AA777" s="34" t="n"/>
      <c r="AB777" s="34" t="n"/>
      <c r="AC777" s="34" t="n"/>
      <c r="AD777" s="34" t="n"/>
      <c r="AE777" s="34" t="n"/>
      <c r="AF777" s="34" t="n"/>
      <c r="AG777" s="34" t="n"/>
      <c r="AH777" s="34" t="n"/>
      <c r="AI777" s="34" t="n"/>
    </row>
    <row r="778" ht="14.25" customHeight="1" s="35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  <c r="AA778" s="34" t="n"/>
      <c r="AB778" s="34" t="n"/>
      <c r="AC778" s="34" t="n"/>
      <c r="AD778" s="34" t="n"/>
      <c r="AE778" s="34" t="n"/>
      <c r="AF778" s="34" t="n"/>
      <c r="AG778" s="34" t="n"/>
      <c r="AH778" s="34" t="n"/>
      <c r="AI778" s="34" t="n"/>
    </row>
    <row r="779" ht="14.25" customHeight="1" s="35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  <c r="AA779" s="34" t="n"/>
      <c r="AB779" s="34" t="n"/>
      <c r="AC779" s="34" t="n"/>
      <c r="AD779" s="34" t="n"/>
      <c r="AE779" s="34" t="n"/>
      <c r="AF779" s="34" t="n"/>
      <c r="AG779" s="34" t="n"/>
      <c r="AH779" s="34" t="n"/>
      <c r="AI779" s="34" t="n"/>
    </row>
    <row r="780" ht="14.25" customHeight="1" s="35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  <c r="AA780" s="34" t="n"/>
      <c r="AB780" s="34" t="n"/>
      <c r="AC780" s="34" t="n"/>
      <c r="AD780" s="34" t="n"/>
      <c r="AE780" s="34" t="n"/>
      <c r="AF780" s="34" t="n"/>
      <c r="AG780" s="34" t="n"/>
      <c r="AH780" s="34" t="n"/>
      <c r="AI780" s="34" t="n"/>
    </row>
    <row r="781" ht="14.25" customHeight="1" s="35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  <c r="AA781" s="34" t="n"/>
      <c r="AB781" s="34" t="n"/>
      <c r="AC781" s="34" t="n"/>
      <c r="AD781" s="34" t="n"/>
      <c r="AE781" s="34" t="n"/>
      <c r="AF781" s="34" t="n"/>
      <c r="AG781" s="34" t="n"/>
      <c r="AH781" s="34" t="n"/>
      <c r="AI781" s="34" t="n"/>
    </row>
    <row r="782" ht="14.25" customHeight="1" s="35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  <c r="AA782" s="34" t="n"/>
      <c r="AB782" s="34" t="n"/>
      <c r="AC782" s="34" t="n"/>
      <c r="AD782" s="34" t="n"/>
      <c r="AE782" s="34" t="n"/>
      <c r="AF782" s="34" t="n"/>
      <c r="AG782" s="34" t="n"/>
      <c r="AH782" s="34" t="n"/>
      <c r="AI782" s="34" t="n"/>
    </row>
    <row r="783" ht="14.25" customHeight="1" s="35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  <c r="AA783" s="34" t="n"/>
      <c r="AB783" s="34" t="n"/>
      <c r="AC783" s="34" t="n"/>
      <c r="AD783" s="34" t="n"/>
      <c r="AE783" s="34" t="n"/>
      <c r="AF783" s="34" t="n"/>
      <c r="AG783" s="34" t="n"/>
      <c r="AH783" s="34" t="n"/>
      <c r="AI783" s="34" t="n"/>
    </row>
    <row r="784" ht="14.25" customHeight="1" s="35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  <c r="AA784" s="34" t="n"/>
      <c r="AB784" s="34" t="n"/>
      <c r="AC784" s="34" t="n"/>
      <c r="AD784" s="34" t="n"/>
      <c r="AE784" s="34" t="n"/>
      <c r="AF784" s="34" t="n"/>
      <c r="AG784" s="34" t="n"/>
      <c r="AH784" s="34" t="n"/>
      <c r="AI784" s="34" t="n"/>
    </row>
    <row r="785" ht="14.25" customHeight="1" s="3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  <c r="AA785" s="34" t="n"/>
      <c r="AB785" s="34" t="n"/>
      <c r="AC785" s="34" t="n"/>
      <c r="AD785" s="34" t="n"/>
      <c r="AE785" s="34" t="n"/>
      <c r="AF785" s="34" t="n"/>
      <c r="AG785" s="34" t="n"/>
      <c r="AH785" s="34" t="n"/>
      <c r="AI785" s="34" t="n"/>
    </row>
    <row r="786" ht="14.25" customHeight="1" s="35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  <c r="AA786" s="34" t="n"/>
      <c r="AB786" s="34" t="n"/>
      <c r="AC786" s="34" t="n"/>
      <c r="AD786" s="34" t="n"/>
      <c r="AE786" s="34" t="n"/>
      <c r="AF786" s="34" t="n"/>
      <c r="AG786" s="34" t="n"/>
      <c r="AH786" s="34" t="n"/>
      <c r="AI786" s="34" t="n"/>
    </row>
    <row r="787" ht="14.25" customHeight="1" s="35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  <c r="AA787" s="34" t="n"/>
      <c r="AB787" s="34" t="n"/>
      <c r="AC787" s="34" t="n"/>
      <c r="AD787" s="34" t="n"/>
      <c r="AE787" s="34" t="n"/>
      <c r="AF787" s="34" t="n"/>
      <c r="AG787" s="34" t="n"/>
      <c r="AH787" s="34" t="n"/>
      <c r="AI787" s="34" t="n"/>
    </row>
    <row r="788" ht="14.25" customHeight="1" s="35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  <c r="AA788" s="34" t="n"/>
      <c r="AB788" s="34" t="n"/>
      <c r="AC788" s="34" t="n"/>
      <c r="AD788" s="34" t="n"/>
      <c r="AE788" s="34" t="n"/>
      <c r="AF788" s="34" t="n"/>
      <c r="AG788" s="34" t="n"/>
      <c r="AH788" s="34" t="n"/>
      <c r="AI788" s="34" t="n"/>
    </row>
    <row r="789" ht="14.25" customHeight="1" s="35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  <c r="AA789" s="34" t="n"/>
      <c r="AB789" s="34" t="n"/>
      <c r="AC789" s="34" t="n"/>
      <c r="AD789" s="34" t="n"/>
      <c r="AE789" s="34" t="n"/>
      <c r="AF789" s="34" t="n"/>
      <c r="AG789" s="34" t="n"/>
      <c r="AH789" s="34" t="n"/>
      <c r="AI789" s="34" t="n"/>
    </row>
    <row r="790" ht="14.25" customHeight="1" s="35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  <c r="AA790" s="34" t="n"/>
      <c r="AB790" s="34" t="n"/>
      <c r="AC790" s="34" t="n"/>
      <c r="AD790" s="34" t="n"/>
      <c r="AE790" s="34" t="n"/>
      <c r="AF790" s="34" t="n"/>
      <c r="AG790" s="34" t="n"/>
      <c r="AH790" s="34" t="n"/>
      <c r="AI790" s="34" t="n"/>
    </row>
    <row r="791" ht="14.25" customHeight="1" s="35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  <c r="AA791" s="34" t="n"/>
      <c r="AB791" s="34" t="n"/>
      <c r="AC791" s="34" t="n"/>
      <c r="AD791" s="34" t="n"/>
      <c r="AE791" s="34" t="n"/>
      <c r="AF791" s="34" t="n"/>
      <c r="AG791" s="34" t="n"/>
      <c r="AH791" s="34" t="n"/>
      <c r="AI791" s="34" t="n"/>
    </row>
    <row r="792" ht="14.25" customHeight="1" s="35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  <c r="AA792" s="34" t="n"/>
      <c r="AB792" s="34" t="n"/>
      <c r="AC792" s="34" t="n"/>
      <c r="AD792" s="34" t="n"/>
      <c r="AE792" s="34" t="n"/>
      <c r="AF792" s="34" t="n"/>
      <c r="AG792" s="34" t="n"/>
      <c r="AH792" s="34" t="n"/>
      <c r="AI792" s="34" t="n"/>
    </row>
    <row r="793" ht="14.25" customHeight="1" s="35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  <c r="AA793" s="34" t="n"/>
      <c r="AB793" s="34" t="n"/>
      <c r="AC793" s="34" t="n"/>
      <c r="AD793" s="34" t="n"/>
      <c r="AE793" s="34" t="n"/>
      <c r="AF793" s="34" t="n"/>
      <c r="AG793" s="34" t="n"/>
      <c r="AH793" s="34" t="n"/>
      <c r="AI793" s="34" t="n"/>
    </row>
    <row r="794" ht="14.25" customHeight="1" s="35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  <c r="AA794" s="34" t="n"/>
      <c r="AB794" s="34" t="n"/>
      <c r="AC794" s="34" t="n"/>
      <c r="AD794" s="34" t="n"/>
      <c r="AE794" s="34" t="n"/>
      <c r="AF794" s="34" t="n"/>
      <c r="AG794" s="34" t="n"/>
      <c r="AH794" s="34" t="n"/>
      <c r="AI794" s="34" t="n"/>
    </row>
    <row r="795" ht="14.25" customHeight="1" s="3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  <c r="AA795" s="34" t="n"/>
      <c r="AB795" s="34" t="n"/>
      <c r="AC795" s="34" t="n"/>
      <c r="AD795" s="34" t="n"/>
      <c r="AE795" s="34" t="n"/>
      <c r="AF795" s="34" t="n"/>
      <c r="AG795" s="34" t="n"/>
      <c r="AH795" s="34" t="n"/>
      <c r="AI795" s="34" t="n"/>
    </row>
    <row r="796" ht="14.25" customHeight="1" s="35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  <c r="AA796" s="34" t="n"/>
      <c r="AB796" s="34" t="n"/>
      <c r="AC796" s="34" t="n"/>
      <c r="AD796" s="34" t="n"/>
      <c r="AE796" s="34" t="n"/>
      <c r="AF796" s="34" t="n"/>
      <c r="AG796" s="34" t="n"/>
      <c r="AH796" s="34" t="n"/>
      <c r="AI796" s="34" t="n"/>
    </row>
    <row r="797" ht="14.25" customHeight="1" s="35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  <c r="AA797" s="34" t="n"/>
      <c r="AB797" s="34" t="n"/>
      <c r="AC797" s="34" t="n"/>
      <c r="AD797" s="34" t="n"/>
      <c r="AE797" s="34" t="n"/>
      <c r="AF797" s="34" t="n"/>
      <c r="AG797" s="34" t="n"/>
      <c r="AH797" s="34" t="n"/>
      <c r="AI797" s="34" t="n"/>
    </row>
    <row r="798" ht="14.25" customHeight="1" s="35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  <c r="AA798" s="34" t="n"/>
      <c r="AB798" s="34" t="n"/>
      <c r="AC798" s="34" t="n"/>
      <c r="AD798" s="34" t="n"/>
      <c r="AE798" s="34" t="n"/>
      <c r="AF798" s="34" t="n"/>
      <c r="AG798" s="34" t="n"/>
      <c r="AH798" s="34" t="n"/>
      <c r="AI798" s="34" t="n"/>
    </row>
    <row r="799" ht="14.25" customHeight="1" s="35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  <c r="AA799" s="34" t="n"/>
      <c r="AB799" s="34" t="n"/>
      <c r="AC799" s="34" t="n"/>
      <c r="AD799" s="34" t="n"/>
      <c r="AE799" s="34" t="n"/>
      <c r="AF799" s="34" t="n"/>
      <c r="AG799" s="34" t="n"/>
      <c r="AH799" s="34" t="n"/>
      <c r="AI799" s="34" t="n"/>
    </row>
    <row r="800" ht="14.25" customHeight="1" s="35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  <c r="AA800" s="34" t="n"/>
      <c r="AB800" s="34" t="n"/>
      <c r="AC800" s="34" t="n"/>
      <c r="AD800" s="34" t="n"/>
      <c r="AE800" s="34" t="n"/>
      <c r="AF800" s="34" t="n"/>
      <c r="AG800" s="34" t="n"/>
      <c r="AH800" s="34" t="n"/>
      <c r="AI800" s="34" t="n"/>
    </row>
    <row r="801" ht="14.25" customHeight="1" s="35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  <c r="AA801" s="34" t="n"/>
      <c r="AB801" s="34" t="n"/>
      <c r="AC801" s="34" t="n"/>
      <c r="AD801" s="34" t="n"/>
      <c r="AE801" s="34" t="n"/>
      <c r="AF801" s="34" t="n"/>
      <c r="AG801" s="34" t="n"/>
      <c r="AH801" s="34" t="n"/>
      <c r="AI801" s="34" t="n"/>
    </row>
    <row r="802" ht="14.25" customHeight="1" s="35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  <c r="AA802" s="34" t="n"/>
      <c r="AB802" s="34" t="n"/>
      <c r="AC802" s="34" t="n"/>
      <c r="AD802" s="34" t="n"/>
      <c r="AE802" s="34" t="n"/>
      <c r="AF802" s="34" t="n"/>
      <c r="AG802" s="34" t="n"/>
      <c r="AH802" s="34" t="n"/>
      <c r="AI802" s="34" t="n"/>
    </row>
    <row r="803" ht="14.25" customHeight="1" s="35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  <c r="AA803" s="34" t="n"/>
      <c r="AB803" s="34" t="n"/>
      <c r="AC803" s="34" t="n"/>
      <c r="AD803" s="34" t="n"/>
      <c r="AE803" s="34" t="n"/>
      <c r="AF803" s="34" t="n"/>
      <c r="AG803" s="34" t="n"/>
      <c r="AH803" s="34" t="n"/>
      <c r="AI803" s="34" t="n"/>
    </row>
    <row r="804" ht="14.25" customHeight="1" s="35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  <c r="AA804" s="34" t="n"/>
      <c r="AB804" s="34" t="n"/>
      <c r="AC804" s="34" t="n"/>
      <c r="AD804" s="34" t="n"/>
      <c r="AE804" s="34" t="n"/>
      <c r="AF804" s="34" t="n"/>
      <c r="AG804" s="34" t="n"/>
      <c r="AH804" s="34" t="n"/>
      <c r="AI804" s="34" t="n"/>
    </row>
    <row r="805" ht="14.25" customHeight="1" s="3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  <c r="AA805" s="34" t="n"/>
      <c r="AB805" s="34" t="n"/>
      <c r="AC805" s="34" t="n"/>
      <c r="AD805" s="34" t="n"/>
      <c r="AE805" s="34" t="n"/>
      <c r="AF805" s="34" t="n"/>
      <c r="AG805" s="34" t="n"/>
      <c r="AH805" s="34" t="n"/>
      <c r="AI805" s="34" t="n"/>
    </row>
    <row r="806" ht="14.25" customHeight="1" s="35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  <c r="AA806" s="34" t="n"/>
      <c r="AB806" s="34" t="n"/>
      <c r="AC806" s="34" t="n"/>
      <c r="AD806" s="34" t="n"/>
      <c r="AE806" s="34" t="n"/>
      <c r="AF806" s="34" t="n"/>
      <c r="AG806" s="34" t="n"/>
      <c r="AH806" s="34" t="n"/>
      <c r="AI806" s="34" t="n"/>
    </row>
    <row r="807" ht="14.25" customHeight="1" s="35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  <c r="AA807" s="34" t="n"/>
      <c r="AB807" s="34" t="n"/>
      <c r="AC807" s="34" t="n"/>
      <c r="AD807" s="34" t="n"/>
      <c r="AE807" s="34" t="n"/>
      <c r="AF807" s="34" t="n"/>
      <c r="AG807" s="34" t="n"/>
      <c r="AH807" s="34" t="n"/>
      <c r="AI807" s="34" t="n"/>
    </row>
    <row r="808" ht="14.25" customHeight="1" s="35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  <c r="AA808" s="34" t="n"/>
      <c r="AB808" s="34" t="n"/>
      <c r="AC808" s="34" t="n"/>
      <c r="AD808" s="34" t="n"/>
      <c r="AE808" s="34" t="n"/>
      <c r="AF808" s="34" t="n"/>
      <c r="AG808" s="34" t="n"/>
      <c r="AH808" s="34" t="n"/>
      <c r="AI808" s="34" t="n"/>
    </row>
    <row r="809" ht="14.25" customHeight="1" s="35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  <c r="AA809" s="34" t="n"/>
      <c r="AB809" s="34" t="n"/>
      <c r="AC809" s="34" t="n"/>
      <c r="AD809" s="34" t="n"/>
      <c r="AE809" s="34" t="n"/>
      <c r="AF809" s="34" t="n"/>
      <c r="AG809" s="34" t="n"/>
      <c r="AH809" s="34" t="n"/>
      <c r="AI809" s="34" t="n"/>
    </row>
    <row r="810" ht="14.25" customHeight="1" s="35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  <c r="AA810" s="34" t="n"/>
      <c r="AB810" s="34" t="n"/>
      <c r="AC810" s="34" t="n"/>
      <c r="AD810" s="34" t="n"/>
      <c r="AE810" s="34" t="n"/>
      <c r="AF810" s="34" t="n"/>
      <c r="AG810" s="34" t="n"/>
      <c r="AH810" s="34" t="n"/>
      <c r="AI810" s="34" t="n"/>
    </row>
    <row r="811" ht="14.25" customHeight="1" s="35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  <c r="AA811" s="34" t="n"/>
      <c r="AB811" s="34" t="n"/>
      <c r="AC811" s="34" t="n"/>
      <c r="AD811" s="34" t="n"/>
      <c r="AE811" s="34" t="n"/>
      <c r="AF811" s="34" t="n"/>
      <c r="AG811" s="34" t="n"/>
      <c r="AH811" s="34" t="n"/>
      <c r="AI811" s="34" t="n"/>
    </row>
    <row r="812" ht="14.25" customHeight="1" s="35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  <c r="AA812" s="34" t="n"/>
      <c r="AB812" s="34" t="n"/>
      <c r="AC812" s="34" t="n"/>
      <c r="AD812" s="34" t="n"/>
      <c r="AE812" s="34" t="n"/>
      <c r="AF812" s="34" t="n"/>
      <c r="AG812" s="34" t="n"/>
      <c r="AH812" s="34" t="n"/>
      <c r="AI812" s="34" t="n"/>
    </row>
    <row r="813" ht="14.25" customHeight="1" s="35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  <c r="AA813" s="34" t="n"/>
      <c r="AB813" s="34" t="n"/>
      <c r="AC813" s="34" t="n"/>
      <c r="AD813" s="34" t="n"/>
      <c r="AE813" s="34" t="n"/>
      <c r="AF813" s="34" t="n"/>
      <c r="AG813" s="34" t="n"/>
      <c r="AH813" s="34" t="n"/>
      <c r="AI813" s="34" t="n"/>
    </row>
    <row r="814" ht="14.25" customHeight="1" s="35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  <c r="AA814" s="34" t="n"/>
      <c r="AB814" s="34" t="n"/>
      <c r="AC814" s="34" t="n"/>
      <c r="AD814" s="34" t="n"/>
      <c r="AE814" s="34" t="n"/>
      <c r="AF814" s="34" t="n"/>
      <c r="AG814" s="34" t="n"/>
      <c r="AH814" s="34" t="n"/>
      <c r="AI814" s="34" t="n"/>
    </row>
    <row r="815" ht="14.25" customHeight="1" s="3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  <c r="AA815" s="34" t="n"/>
      <c r="AB815" s="34" t="n"/>
      <c r="AC815" s="34" t="n"/>
      <c r="AD815" s="34" t="n"/>
      <c r="AE815" s="34" t="n"/>
      <c r="AF815" s="34" t="n"/>
      <c r="AG815" s="34" t="n"/>
      <c r="AH815" s="34" t="n"/>
      <c r="AI815" s="34" t="n"/>
    </row>
    <row r="816" ht="14.25" customHeight="1" s="35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  <c r="AA816" s="34" t="n"/>
      <c r="AB816" s="34" t="n"/>
      <c r="AC816" s="34" t="n"/>
      <c r="AD816" s="34" t="n"/>
      <c r="AE816" s="34" t="n"/>
      <c r="AF816" s="34" t="n"/>
      <c r="AG816" s="34" t="n"/>
      <c r="AH816" s="34" t="n"/>
      <c r="AI816" s="34" t="n"/>
    </row>
    <row r="817" ht="14.25" customHeight="1" s="35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  <c r="AA817" s="34" t="n"/>
      <c r="AB817" s="34" t="n"/>
      <c r="AC817" s="34" t="n"/>
      <c r="AD817" s="34" t="n"/>
      <c r="AE817" s="34" t="n"/>
      <c r="AF817" s="34" t="n"/>
      <c r="AG817" s="34" t="n"/>
      <c r="AH817" s="34" t="n"/>
      <c r="AI817" s="34" t="n"/>
    </row>
    <row r="818" ht="14.25" customHeight="1" s="35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  <c r="AA818" s="34" t="n"/>
      <c r="AB818" s="34" t="n"/>
      <c r="AC818" s="34" t="n"/>
      <c r="AD818" s="34" t="n"/>
      <c r="AE818" s="34" t="n"/>
      <c r="AF818" s="34" t="n"/>
      <c r="AG818" s="34" t="n"/>
      <c r="AH818" s="34" t="n"/>
      <c r="AI818" s="34" t="n"/>
    </row>
    <row r="819" ht="14.25" customHeight="1" s="35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  <c r="AA819" s="34" t="n"/>
      <c r="AB819" s="34" t="n"/>
      <c r="AC819" s="34" t="n"/>
      <c r="AD819" s="34" t="n"/>
      <c r="AE819" s="34" t="n"/>
      <c r="AF819" s="34" t="n"/>
      <c r="AG819" s="34" t="n"/>
      <c r="AH819" s="34" t="n"/>
      <c r="AI819" s="34" t="n"/>
    </row>
    <row r="820" ht="14.25" customHeight="1" s="35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  <c r="AA820" s="34" t="n"/>
      <c r="AB820" s="34" t="n"/>
      <c r="AC820" s="34" t="n"/>
      <c r="AD820" s="34" t="n"/>
      <c r="AE820" s="34" t="n"/>
      <c r="AF820" s="34" t="n"/>
      <c r="AG820" s="34" t="n"/>
      <c r="AH820" s="34" t="n"/>
      <c r="AI820" s="34" t="n"/>
    </row>
    <row r="821" ht="14.25" customHeight="1" s="35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  <c r="AA821" s="34" t="n"/>
      <c r="AB821" s="34" t="n"/>
      <c r="AC821" s="34" t="n"/>
      <c r="AD821" s="34" t="n"/>
      <c r="AE821" s="34" t="n"/>
      <c r="AF821" s="34" t="n"/>
      <c r="AG821" s="34" t="n"/>
      <c r="AH821" s="34" t="n"/>
      <c r="AI821" s="34" t="n"/>
    </row>
    <row r="822" ht="14.25" customHeight="1" s="35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  <c r="AA822" s="34" t="n"/>
      <c r="AB822" s="34" t="n"/>
      <c r="AC822" s="34" t="n"/>
      <c r="AD822" s="34" t="n"/>
      <c r="AE822" s="34" t="n"/>
      <c r="AF822" s="34" t="n"/>
      <c r="AG822" s="34" t="n"/>
      <c r="AH822" s="34" t="n"/>
      <c r="AI822" s="34" t="n"/>
    </row>
    <row r="823" ht="14.25" customHeight="1" s="35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  <c r="AA823" s="34" t="n"/>
      <c r="AB823" s="34" t="n"/>
      <c r="AC823" s="34" t="n"/>
      <c r="AD823" s="34" t="n"/>
      <c r="AE823" s="34" t="n"/>
      <c r="AF823" s="34" t="n"/>
      <c r="AG823" s="34" t="n"/>
      <c r="AH823" s="34" t="n"/>
      <c r="AI823" s="34" t="n"/>
    </row>
    <row r="824" ht="14.25" customHeight="1" s="35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  <c r="AA824" s="34" t="n"/>
      <c r="AB824" s="34" t="n"/>
      <c r="AC824" s="34" t="n"/>
      <c r="AD824" s="34" t="n"/>
      <c r="AE824" s="34" t="n"/>
      <c r="AF824" s="34" t="n"/>
      <c r="AG824" s="34" t="n"/>
      <c r="AH824" s="34" t="n"/>
      <c r="AI824" s="34" t="n"/>
    </row>
    <row r="825" ht="14.25" customHeight="1" s="3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  <c r="AA825" s="34" t="n"/>
      <c r="AB825" s="34" t="n"/>
      <c r="AC825" s="34" t="n"/>
      <c r="AD825" s="34" t="n"/>
      <c r="AE825" s="34" t="n"/>
      <c r="AF825" s="34" t="n"/>
      <c r="AG825" s="34" t="n"/>
      <c r="AH825" s="34" t="n"/>
      <c r="AI825" s="34" t="n"/>
    </row>
    <row r="826" ht="14.25" customHeight="1" s="35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  <c r="AA826" s="34" t="n"/>
      <c r="AB826" s="34" t="n"/>
      <c r="AC826" s="34" t="n"/>
      <c r="AD826" s="34" t="n"/>
      <c r="AE826" s="34" t="n"/>
      <c r="AF826" s="34" t="n"/>
      <c r="AG826" s="34" t="n"/>
      <c r="AH826" s="34" t="n"/>
      <c r="AI826" s="34" t="n"/>
    </row>
    <row r="827" ht="14.25" customHeight="1" s="35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  <c r="AA827" s="34" t="n"/>
      <c r="AB827" s="34" t="n"/>
      <c r="AC827" s="34" t="n"/>
      <c r="AD827" s="34" t="n"/>
      <c r="AE827" s="34" t="n"/>
      <c r="AF827" s="34" t="n"/>
      <c r="AG827" s="34" t="n"/>
      <c r="AH827" s="34" t="n"/>
      <c r="AI827" s="34" t="n"/>
    </row>
    <row r="828" ht="14.25" customHeight="1" s="35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  <c r="AA828" s="34" t="n"/>
      <c r="AB828" s="34" t="n"/>
      <c r="AC828" s="34" t="n"/>
      <c r="AD828" s="34" t="n"/>
      <c r="AE828" s="34" t="n"/>
      <c r="AF828" s="34" t="n"/>
      <c r="AG828" s="34" t="n"/>
      <c r="AH828" s="34" t="n"/>
      <c r="AI828" s="34" t="n"/>
    </row>
    <row r="829" ht="14.25" customHeight="1" s="35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  <c r="AA829" s="34" t="n"/>
      <c r="AB829" s="34" t="n"/>
      <c r="AC829" s="34" t="n"/>
      <c r="AD829" s="34" t="n"/>
      <c r="AE829" s="34" t="n"/>
      <c r="AF829" s="34" t="n"/>
      <c r="AG829" s="34" t="n"/>
      <c r="AH829" s="34" t="n"/>
      <c r="AI829" s="34" t="n"/>
    </row>
    <row r="830" ht="14.25" customHeight="1" s="35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  <c r="AA830" s="34" t="n"/>
      <c r="AB830" s="34" t="n"/>
      <c r="AC830" s="34" t="n"/>
      <c r="AD830" s="34" t="n"/>
      <c r="AE830" s="34" t="n"/>
      <c r="AF830" s="34" t="n"/>
      <c r="AG830" s="34" t="n"/>
      <c r="AH830" s="34" t="n"/>
      <c r="AI830" s="34" t="n"/>
    </row>
    <row r="831" ht="14.25" customHeight="1" s="35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  <c r="AA831" s="34" t="n"/>
      <c r="AB831" s="34" t="n"/>
      <c r="AC831" s="34" t="n"/>
      <c r="AD831" s="34" t="n"/>
      <c r="AE831" s="34" t="n"/>
      <c r="AF831" s="34" t="n"/>
      <c r="AG831" s="34" t="n"/>
      <c r="AH831" s="34" t="n"/>
      <c r="AI831" s="34" t="n"/>
    </row>
    <row r="832" ht="14.25" customHeight="1" s="35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  <c r="AA832" s="34" t="n"/>
      <c r="AB832" s="34" t="n"/>
      <c r="AC832" s="34" t="n"/>
      <c r="AD832" s="34" t="n"/>
      <c r="AE832" s="34" t="n"/>
      <c r="AF832" s="34" t="n"/>
      <c r="AG832" s="34" t="n"/>
      <c r="AH832" s="34" t="n"/>
      <c r="AI832" s="34" t="n"/>
    </row>
    <row r="833" ht="14.25" customHeight="1" s="35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  <c r="AA833" s="34" t="n"/>
      <c r="AB833" s="34" t="n"/>
      <c r="AC833" s="34" t="n"/>
      <c r="AD833" s="34" t="n"/>
      <c r="AE833" s="34" t="n"/>
      <c r="AF833" s="34" t="n"/>
      <c r="AG833" s="34" t="n"/>
      <c r="AH833" s="34" t="n"/>
      <c r="AI833" s="34" t="n"/>
    </row>
    <row r="834" ht="14.25" customHeight="1" s="35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  <c r="AA834" s="34" t="n"/>
      <c r="AB834" s="34" t="n"/>
      <c r="AC834" s="34" t="n"/>
      <c r="AD834" s="34" t="n"/>
      <c r="AE834" s="34" t="n"/>
      <c r="AF834" s="34" t="n"/>
      <c r="AG834" s="34" t="n"/>
      <c r="AH834" s="34" t="n"/>
      <c r="AI834" s="34" t="n"/>
    </row>
    <row r="835" ht="14.25" customHeight="1" s="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  <c r="AA835" s="34" t="n"/>
      <c r="AB835" s="34" t="n"/>
      <c r="AC835" s="34" t="n"/>
      <c r="AD835" s="34" t="n"/>
      <c r="AE835" s="34" t="n"/>
      <c r="AF835" s="34" t="n"/>
      <c r="AG835" s="34" t="n"/>
      <c r="AH835" s="34" t="n"/>
      <c r="AI835" s="34" t="n"/>
    </row>
    <row r="836" ht="14.25" customHeight="1" s="35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  <c r="AA836" s="34" t="n"/>
      <c r="AB836" s="34" t="n"/>
      <c r="AC836" s="34" t="n"/>
      <c r="AD836" s="34" t="n"/>
      <c r="AE836" s="34" t="n"/>
      <c r="AF836" s="34" t="n"/>
      <c r="AG836" s="34" t="n"/>
      <c r="AH836" s="34" t="n"/>
      <c r="AI836" s="34" t="n"/>
    </row>
    <row r="837" ht="14.25" customHeight="1" s="35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  <c r="AA837" s="34" t="n"/>
      <c r="AB837" s="34" t="n"/>
      <c r="AC837" s="34" t="n"/>
      <c r="AD837" s="34" t="n"/>
      <c r="AE837" s="34" t="n"/>
      <c r="AF837" s="34" t="n"/>
      <c r="AG837" s="34" t="n"/>
      <c r="AH837" s="34" t="n"/>
      <c r="AI837" s="34" t="n"/>
    </row>
    <row r="838" ht="14.25" customHeight="1" s="35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  <c r="AA838" s="34" t="n"/>
      <c r="AB838" s="34" t="n"/>
      <c r="AC838" s="34" t="n"/>
      <c r="AD838" s="34" t="n"/>
      <c r="AE838" s="34" t="n"/>
      <c r="AF838" s="34" t="n"/>
      <c r="AG838" s="34" t="n"/>
      <c r="AH838" s="34" t="n"/>
      <c r="AI838" s="34" t="n"/>
    </row>
    <row r="839" ht="14.25" customHeight="1" s="35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  <c r="AA839" s="34" t="n"/>
      <c r="AB839" s="34" t="n"/>
      <c r="AC839" s="34" t="n"/>
      <c r="AD839" s="34" t="n"/>
      <c r="AE839" s="34" t="n"/>
      <c r="AF839" s="34" t="n"/>
      <c r="AG839" s="34" t="n"/>
      <c r="AH839" s="34" t="n"/>
      <c r="AI839" s="34" t="n"/>
    </row>
    <row r="840" ht="14.25" customHeight="1" s="35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  <c r="AA840" s="34" t="n"/>
      <c r="AB840" s="34" t="n"/>
      <c r="AC840" s="34" t="n"/>
      <c r="AD840" s="34" t="n"/>
      <c r="AE840" s="34" t="n"/>
      <c r="AF840" s="34" t="n"/>
      <c r="AG840" s="34" t="n"/>
      <c r="AH840" s="34" t="n"/>
      <c r="AI840" s="34" t="n"/>
    </row>
    <row r="841" ht="14.25" customHeight="1" s="35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  <c r="AA841" s="34" t="n"/>
      <c r="AB841" s="34" t="n"/>
      <c r="AC841" s="34" t="n"/>
      <c r="AD841" s="34" t="n"/>
      <c r="AE841" s="34" t="n"/>
      <c r="AF841" s="34" t="n"/>
      <c r="AG841" s="34" t="n"/>
      <c r="AH841" s="34" t="n"/>
      <c r="AI841" s="34" t="n"/>
    </row>
    <row r="842" ht="14.25" customHeight="1" s="35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  <c r="AA842" s="34" t="n"/>
      <c r="AB842" s="34" t="n"/>
      <c r="AC842" s="34" t="n"/>
      <c r="AD842" s="34" t="n"/>
      <c r="AE842" s="34" t="n"/>
      <c r="AF842" s="34" t="n"/>
      <c r="AG842" s="34" t="n"/>
      <c r="AH842" s="34" t="n"/>
      <c r="AI842" s="34" t="n"/>
    </row>
    <row r="843" ht="14.25" customHeight="1" s="35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  <c r="AA843" s="34" t="n"/>
      <c r="AB843" s="34" t="n"/>
      <c r="AC843" s="34" t="n"/>
      <c r="AD843" s="34" t="n"/>
      <c r="AE843" s="34" t="n"/>
      <c r="AF843" s="34" t="n"/>
      <c r="AG843" s="34" t="n"/>
      <c r="AH843" s="34" t="n"/>
      <c r="AI843" s="34" t="n"/>
    </row>
    <row r="844" ht="14.25" customHeight="1" s="35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  <c r="AA844" s="34" t="n"/>
      <c r="AB844" s="34" t="n"/>
      <c r="AC844" s="34" t="n"/>
      <c r="AD844" s="34" t="n"/>
      <c r="AE844" s="34" t="n"/>
      <c r="AF844" s="34" t="n"/>
      <c r="AG844" s="34" t="n"/>
      <c r="AH844" s="34" t="n"/>
      <c r="AI844" s="34" t="n"/>
    </row>
    <row r="845" ht="14.25" customHeight="1" s="3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  <c r="AA845" s="34" t="n"/>
      <c r="AB845" s="34" t="n"/>
      <c r="AC845" s="34" t="n"/>
      <c r="AD845" s="34" t="n"/>
      <c r="AE845" s="34" t="n"/>
      <c r="AF845" s="34" t="n"/>
      <c r="AG845" s="34" t="n"/>
      <c r="AH845" s="34" t="n"/>
      <c r="AI845" s="34" t="n"/>
    </row>
    <row r="846" ht="14.25" customHeight="1" s="35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  <c r="AA846" s="34" t="n"/>
      <c r="AB846" s="34" t="n"/>
      <c r="AC846" s="34" t="n"/>
      <c r="AD846" s="34" t="n"/>
      <c r="AE846" s="34" t="n"/>
      <c r="AF846" s="34" t="n"/>
      <c r="AG846" s="34" t="n"/>
      <c r="AH846" s="34" t="n"/>
      <c r="AI846" s="34" t="n"/>
    </row>
    <row r="847" ht="14.25" customHeight="1" s="35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  <c r="AA847" s="34" t="n"/>
      <c r="AB847" s="34" t="n"/>
      <c r="AC847" s="34" t="n"/>
      <c r="AD847" s="34" t="n"/>
      <c r="AE847" s="34" t="n"/>
      <c r="AF847" s="34" t="n"/>
      <c r="AG847" s="34" t="n"/>
      <c r="AH847" s="34" t="n"/>
      <c r="AI847" s="34" t="n"/>
    </row>
    <row r="848" ht="14.25" customHeight="1" s="35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  <c r="AA848" s="34" t="n"/>
      <c r="AB848" s="34" t="n"/>
      <c r="AC848" s="34" t="n"/>
      <c r="AD848" s="34" t="n"/>
      <c r="AE848" s="34" t="n"/>
      <c r="AF848" s="34" t="n"/>
      <c r="AG848" s="34" t="n"/>
      <c r="AH848" s="34" t="n"/>
      <c r="AI848" s="34" t="n"/>
    </row>
    <row r="849" ht="14.25" customHeight="1" s="35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  <c r="AA849" s="34" t="n"/>
      <c r="AB849" s="34" t="n"/>
      <c r="AC849" s="34" t="n"/>
      <c r="AD849" s="34" t="n"/>
      <c r="AE849" s="34" t="n"/>
      <c r="AF849" s="34" t="n"/>
      <c r="AG849" s="34" t="n"/>
      <c r="AH849" s="34" t="n"/>
      <c r="AI849" s="34" t="n"/>
    </row>
    <row r="850" ht="14.25" customHeight="1" s="35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  <c r="AA850" s="34" t="n"/>
      <c r="AB850" s="34" t="n"/>
      <c r="AC850" s="34" t="n"/>
      <c r="AD850" s="34" t="n"/>
      <c r="AE850" s="34" t="n"/>
      <c r="AF850" s="34" t="n"/>
      <c r="AG850" s="34" t="n"/>
      <c r="AH850" s="34" t="n"/>
      <c r="AI850" s="34" t="n"/>
    </row>
    <row r="851" ht="14.25" customHeight="1" s="35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  <c r="AA851" s="34" t="n"/>
      <c r="AB851" s="34" t="n"/>
      <c r="AC851" s="34" t="n"/>
      <c r="AD851" s="34" t="n"/>
      <c r="AE851" s="34" t="n"/>
      <c r="AF851" s="34" t="n"/>
      <c r="AG851" s="34" t="n"/>
      <c r="AH851" s="34" t="n"/>
      <c r="AI851" s="34" t="n"/>
    </row>
    <row r="852" ht="14.25" customHeight="1" s="35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  <c r="AA852" s="34" t="n"/>
      <c r="AB852" s="34" t="n"/>
      <c r="AC852" s="34" t="n"/>
      <c r="AD852" s="34" t="n"/>
      <c r="AE852" s="34" t="n"/>
      <c r="AF852" s="34" t="n"/>
      <c r="AG852" s="34" t="n"/>
      <c r="AH852" s="34" t="n"/>
      <c r="AI852" s="34" t="n"/>
    </row>
    <row r="853" ht="14.25" customHeight="1" s="35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  <c r="AA853" s="34" t="n"/>
      <c r="AB853" s="34" t="n"/>
      <c r="AC853" s="34" t="n"/>
      <c r="AD853" s="34" t="n"/>
      <c r="AE853" s="34" t="n"/>
      <c r="AF853" s="34" t="n"/>
      <c r="AG853" s="34" t="n"/>
      <c r="AH853" s="34" t="n"/>
      <c r="AI853" s="34" t="n"/>
    </row>
    <row r="854" ht="14.25" customHeight="1" s="35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  <c r="AA854" s="34" t="n"/>
      <c r="AB854" s="34" t="n"/>
      <c r="AC854" s="34" t="n"/>
      <c r="AD854" s="34" t="n"/>
      <c r="AE854" s="34" t="n"/>
      <c r="AF854" s="34" t="n"/>
      <c r="AG854" s="34" t="n"/>
      <c r="AH854" s="34" t="n"/>
      <c r="AI854" s="34" t="n"/>
    </row>
    <row r="855" ht="14.25" customHeight="1" s="3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  <c r="AA855" s="34" t="n"/>
      <c r="AB855" s="34" t="n"/>
      <c r="AC855" s="34" t="n"/>
      <c r="AD855" s="34" t="n"/>
      <c r="AE855" s="34" t="n"/>
      <c r="AF855" s="34" t="n"/>
      <c r="AG855" s="34" t="n"/>
      <c r="AH855" s="34" t="n"/>
      <c r="AI855" s="34" t="n"/>
    </row>
    <row r="856" ht="14.25" customHeight="1" s="35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  <c r="AA856" s="34" t="n"/>
      <c r="AB856" s="34" t="n"/>
      <c r="AC856" s="34" t="n"/>
      <c r="AD856" s="34" t="n"/>
      <c r="AE856" s="34" t="n"/>
      <c r="AF856" s="34" t="n"/>
      <c r="AG856" s="34" t="n"/>
      <c r="AH856" s="34" t="n"/>
      <c r="AI856" s="34" t="n"/>
    </row>
    <row r="857" ht="14.25" customHeight="1" s="35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  <c r="AA857" s="34" t="n"/>
      <c r="AB857" s="34" t="n"/>
      <c r="AC857" s="34" t="n"/>
      <c r="AD857" s="34" t="n"/>
      <c r="AE857" s="34" t="n"/>
      <c r="AF857" s="34" t="n"/>
      <c r="AG857" s="34" t="n"/>
      <c r="AH857" s="34" t="n"/>
      <c r="AI857" s="34" t="n"/>
    </row>
    <row r="858" ht="14.25" customHeight="1" s="35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  <c r="AA858" s="34" t="n"/>
      <c r="AB858" s="34" t="n"/>
      <c r="AC858" s="34" t="n"/>
      <c r="AD858" s="34" t="n"/>
      <c r="AE858" s="34" t="n"/>
      <c r="AF858" s="34" t="n"/>
      <c r="AG858" s="34" t="n"/>
      <c r="AH858" s="34" t="n"/>
      <c r="AI858" s="34" t="n"/>
    </row>
    <row r="859" ht="14.25" customHeight="1" s="35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  <c r="AA859" s="34" t="n"/>
      <c r="AB859" s="34" t="n"/>
      <c r="AC859" s="34" t="n"/>
      <c r="AD859" s="34" t="n"/>
      <c r="AE859" s="34" t="n"/>
      <c r="AF859" s="34" t="n"/>
      <c r="AG859" s="34" t="n"/>
      <c r="AH859" s="34" t="n"/>
      <c r="AI859" s="34" t="n"/>
    </row>
    <row r="860" ht="14.25" customHeight="1" s="35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  <c r="AA860" s="34" t="n"/>
      <c r="AB860" s="34" t="n"/>
      <c r="AC860" s="34" t="n"/>
      <c r="AD860" s="34" t="n"/>
      <c r="AE860" s="34" t="n"/>
      <c r="AF860" s="34" t="n"/>
      <c r="AG860" s="34" t="n"/>
      <c r="AH860" s="34" t="n"/>
      <c r="AI860" s="34" t="n"/>
    </row>
    <row r="861" ht="14.25" customHeight="1" s="35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  <c r="AA861" s="34" t="n"/>
      <c r="AB861" s="34" t="n"/>
      <c r="AC861" s="34" t="n"/>
      <c r="AD861" s="34" t="n"/>
      <c r="AE861" s="34" t="n"/>
      <c r="AF861" s="34" t="n"/>
      <c r="AG861" s="34" t="n"/>
      <c r="AH861" s="34" t="n"/>
      <c r="AI861" s="34" t="n"/>
    </row>
    <row r="862" ht="14.25" customHeight="1" s="35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  <c r="AA862" s="34" t="n"/>
      <c r="AB862" s="34" t="n"/>
      <c r="AC862" s="34" t="n"/>
      <c r="AD862" s="34" t="n"/>
      <c r="AE862" s="34" t="n"/>
      <c r="AF862" s="34" t="n"/>
      <c r="AG862" s="34" t="n"/>
      <c r="AH862" s="34" t="n"/>
      <c r="AI862" s="34" t="n"/>
    </row>
    <row r="863" ht="14.25" customHeight="1" s="35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  <c r="AA863" s="34" t="n"/>
      <c r="AB863" s="34" t="n"/>
      <c r="AC863" s="34" t="n"/>
      <c r="AD863" s="34" t="n"/>
      <c r="AE863" s="34" t="n"/>
      <c r="AF863" s="34" t="n"/>
      <c r="AG863" s="34" t="n"/>
      <c r="AH863" s="34" t="n"/>
      <c r="AI863" s="34" t="n"/>
    </row>
    <row r="864" ht="14.25" customHeight="1" s="35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  <c r="AA864" s="34" t="n"/>
      <c r="AB864" s="34" t="n"/>
      <c r="AC864" s="34" t="n"/>
      <c r="AD864" s="34" t="n"/>
      <c r="AE864" s="34" t="n"/>
      <c r="AF864" s="34" t="n"/>
      <c r="AG864" s="34" t="n"/>
      <c r="AH864" s="34" t="n"/>
      <c r="AI864" s="34" t="n"/>
    </row>
    <row r="865" ht="14.25" customHeight="1" s="3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  <c r="AA865" s="34" t="n"/>
      <c r="AB865" s="34" t="n"/>
      <c r="AC865" s="34" t="n"/>
      <c r="AD865" s="34" t="n"/>
      <c r="AE865" s="34" t="n"/>
      <c r="AF865" s="34" t="n"/>
      <c r="AG865" s="34" t="n"/>
      <c r="AH865" s="34" t="n"/>
      <c r="AI865" s="34" t="n"/>
    </row>
    <row r="866" ht="14.25" customHeight="1" s="35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  <c r="AA866" s="34" t="n"/>
      <c r="AB866" s="34" t="n"/>
      <c r="AC866" s="34" t="n"/>
      <c r="AD866" s="34" t="n"/>
      <c r="AE866" s="34" t="n"/>
      <c r="AF866" s="34" t="n"/>
      <c r="AG866" s="34" t="n"/>
      <c r="AH866" s="34" t="n"/>
      <c r="AI866" s="34" t="n"/>
    </row>
    <row r="867" ht="14.25" customHeight="1" s="35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  <c r="AA867" s="34" t="n"/>
      <c r="AB867" s="34" t="n"/>
      <c r="AC867" s="34" t="n"/>
      <c r="AD867" s="34" t="n"/>
      <c r="AE867" s="34" t="n"/>
      <c r="AF867" s="34" t="n"/>
      <c r="AG867" s="34" t="n"/>
      <c r="AH867" s="34" t="n"/>
      <c r="AI867" s="34" t="n"/>
    </row>
    <row r="868" ht="14.25" customHeight="1" s="35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  <c r="AA868" s="34" t="n"/>
      <c r="AB868" s="34" t="n"/>
      <c r="AC868" s="34" t="n"/>
      <c r="AD868" s="34" t="n"/>
      <c r="AE868" s="34" t="n"/>
      <c r="AF868" s="34" t="n"/>
      <c r="AG868" s="34" t="n"/>
      <c r="AH868" s="34" t="n"/>
      <c r="AI868" s="34" t="n"/>
    </row>
    <row r="869" ht="14.25" customHeight="1" s="35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  <c r="AA869" s="34" t="n"/>
      <c r="AB869" s="34" t="n"/>
      <c r="AC869" s="34" t="n"/>
      <c r="AD869" s="34" t="n"/>
      <c r="AE869" s="34" t="n"/>
      <c r="AF869" s="34" t="n"/>
      <c r="AG869" s="34" t="n"/>
      <c r="AH869" s="34" t="n"/>
      <c r="AI869" s="34" t="n"/>
    </row>
    <row r="870" ht="14.25" customHeight="1" s="35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  <c r="AA870" s="34" t="n"/>
      <c r="AB870" s="34" t="n"/>
      <c r="AC870" s="34" t="n"/>
      <c r="AD870" s="34" t="n"/>
      <c r="AE870" s="34" t="n"/>
      <c r="AF870" s="34" t="n"/>
      <c r="AG870" s="34" t="n"/>
      <c r="AH870" s="34" t="n"/>
      <c r="AI870" s="34" t="n"/>
    </row>
    <row r="871" ht="14.25" customHeight="1" s="35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  <c r="AA871" s="34" t="n"/>
      <c r="AB871" s="34" t="n"/>
      <c r="AC871" s="34" t="n"/>
      <c r="AD871" s="34" t="n"/>
      <c r="AE871" s="34" t="n"/>
      <c r="AF871" s="34" t="n"/>
      <c r="AG871" s="34" t="n"/>
      <c r="AH871" s="34" t="n"/>
      <c r="AI871" s="34" t="n"/>
    </row>
    <row r="872" ht="14.25" customHeight="1" s="35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  <c r="AA872" s="34" t="n"/>
      <c r="AB872" s="34" t="n"/>
      <c r="AC872" s="34" t="n"/>
      <c r="AD872" s="34" t="n"/>
      <c r="AE872" s="34" t="n"/>
      <c r="AF872" s="34" t="n"/>
      <c r="AG872" s="34" t="n"/>
      <c r="AH872" s="34" t="n"/>
      <c r="AI872" s="34" t="n"/>
    </row>
    <row r="873" ht="14.25" customHeight="1" s="35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  <c r="AA873" s="34" t="n"/>
      <c r="AB873" s="34" t="n"/>
      <c r="AC873" s="34" t="n"/>
      <c r="AD873" s="34" t="n"/>
      <c r="AE873" s="34" t="n"/>
      <c r="AF873" s="34" t="n"/>
      <c r="AG873" s="34" t="n"/>
      <c r="AH873" s="34" t="n"/>
      <c r="AI873" s="34" t="n"/>
    </row>
    <row r="874" ht="14.25" customHeight="1" s="35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  <c r="AA874" s="34" t="n"/>
      <c r="AB874" s="34" t="n"/>
      <c r="AC874" s="34" t="n"/>
      <c r="AD874" s="34" t="n"/>
      <c r="AE874" s="34" t="n"/>
      <c r="AF874" s="34" t="n"/>
      <c r="AG874" s="34" t="n"/>
      <c r="AH874" s="34" t="n"/>
      <c r="AI874" s="34" t="n"/>
    </row>
    <row r="875" ht="14.25" customHeight="1" s="3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  <c r="AA875" s="34" t="n"/>
      <c r="AB875" s="34" t="n"/>
      <c r="AC875" s="34" t="n"/>
      <c r="AD875" s="34" t="n"/>
      <c r="AE875" s="34" t="n"/>
      <c r="AF875" s="34" t="n"/>
      <c r="AG875" s="34" t="n"/>
      <c r="AH875" s="34" t="n"/>
      <c r="AI875" s="34" t="n"/>
    </row>
    <row r="876" ht="14.25" customHeight="1" s="35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  <c r="AA876" s="34" t="n"/>
      <c r="AB876" s="34" t="n"/>
      <c r="AC876" s="34" t="n"/>
      <c r="AD876" s="34" t="n"/>
      <c r="AE876" s="34" t="n"/>
      <c r="AF876" s="34" t="n"/>
      <c r="AG876" s="34" t="n"/>
      <c r="AH876" s="34" t="n"/>
      <c r="AI876" s="34" t="n"/>
    </row>
    <row r="877" ht="14.25" customHeight="1" s="35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  <c r="AA877" s="34" t="n"/>
      <c r="AB877" s="34" t="n"/>
      <c r="AC877" s="34" t="n"/>
      <c r="AD877" s="34" t="n"/>
      <c r="AE877" s="34" t="n"/>
      <c r="AF877" s="34" t="n"/>
      <c r="AG877" s="34" t="n"/>
      <c r="AH877" s="34" t="n"/>
      <c r="AI877" s="34" t="n"/>
    </row>
    <row r="878" ht="14.25" customHeight="1" s="35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  <c r="AA878" s="34" t="n"/>
      <c r="AB878" s="34" t="n"/>
      <c r="AC878" s="34" t="n"/>
      <c r="AD878" s="34" t="n"/>
      <c r="AE878" s="34" t="n"/>
      <c r="AF878" s="34" t="n"/>
      <c r="AG878" s="34" t="n"/>
      <c r="AH878" s="34" t="n"/>
      <c r="AI878" s="34" t="n"/>
    </row>
    <row r="879" ht="14.25" customHeight="1" s="35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  <c r="AA879" s="34" t="n"/>
      <c r="AB879" s="34" t="n"/>
      <c r="AC879" s="34" t="n"/>
      <c r="AD879" s="34" t="n"/>
      <c r="AE879" s="34" t="n"/>
      <c r="AF879" s="34" t="n"/>
      <c r="AG879" s="34" t="n"/>
      <c r="AH879" s="34" t="n"/>
      <c r="AI879" s="34" t="n"/>
    </row>
    <row r="880" ht="14.25" customHeight="1" s="35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  <c r="AA880" s="34" t="n"/>
      <c r="AB880" s="34" t="n"/>
      <c r="AC880" s="34" t="n"/>
      <c r="AD880" s="34" t="n"/>
      <c r="AE880" s="34" t="n"/>
      <c r="AF880" s="34" t="n"/>
      <c r="AG880" s="34" t="n"/>
      <c r="AH880" s="34" t="n"/>
      <c r="AI880" s="34" t="n"/>
    </row>
    <row r="881" ht="14.25" customHeight="1" s="35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  <c r="AA881" s="34" t="n"/>
      <c r="AB881" s="34" t="n"/>
      <c r="AC881" s="34" t="n"/>
      <c r="AD881" s="34" t="n"/>
      <c r="AE881" s="34" t="n"/>
      <c r="AF881" s="34" t="n"/>
      <c r="AG881" s="34" t="n"/>
      <c r="AH881" s="34" t="n"/>
      <c r="AI881" s="34" t="n"/>
    </row>
    <row r="882" ht="14.25" customHeight="1" s="35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  <c r="AA882" s="34" t="n"/>
      <c r="AB882" s="34" t="n"/>
      <c r="AC882" s="34" t="n"/>
      <c r="AD882" s="34" t="n"/>
      <c r="AE882" s="34" t="n"/>
      <c r="AF882" s="34" t="n"/>
      <c r="AG882" s="34" t="n"/>
      <c r="AH882" s="34" t="n"/>
      <c r="AI882" s="34" t="n"/>
    </row>
    <row r="883" ht="14.25" customHeight="1" s="35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  <c r="AA883" s="34" t="n"/>
      <c r="AB883" s="34" t="n"/>
      <c r="AC883" s="34" t="n"/>
      <c r="AD883" s="34" t="n"/>
      <c r="AE883" s="34" t="n"/>
      <c r="AF883" s="34" t="n"/>
      <c r="AG883" s="34" t="n"/>
      <c r="AH883" s="34" t="n"/>
      <c r="AI883" s="34" t="n"/>
    </row>
    <row r="884" ht="14.25" customHeight="1" s="35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  <c r="AA884" s="34" t="n"/>
      <c r="AB884" s="34" t="n"/>
      <c r="AC884" s="34" t="n"/>
      <c r="AD884" s="34" t="n"/>
      <c r="AE884" s="34" t="n"/>
      <c r="AF884" s="34" t="n"/>
      <c r="AG884" s="34" t="n"/>
      <c r="AH884" s="34" t="n"/>
      <c r="AI884" s="34" t="n"/>
    </row>
    <row r="885" ht="14.25" customHeight="1" s="3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  <c r="AA885" s="34" t="n"/>
      <c r="AB885" s="34" t="n"/>
      <c r="AC885" s="34" t="n"/>
      <c r="AD885" s="34" t="n"/>
      <c r="AE885" s="34" t="n"/>
      <c r="AF885" s="34" t="n"/>
      <c r="AG885" s="34" t="n"/>
      <c r="AH885" s="34" t="n"/>
      <c r="AI885" s="34" t="n"/>
    </row>
    <row r="886" ht="14.25" customHeight="1" s="35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  <c r="AA886" s="34" t="n"/>
      <c r="AB886" s="34" t="n"/>
      <c r="AC886" s="34" t="n"/>
      <c r="AD886" s="34" t="n"/>
      <c r="AE886" s="34" t="n"/>
      <c r="AF886" s="34" t="n"/>
      <c r="AG886" s="34" t="n"/>
      <c r="AH886" s="34" t="n"/>
      <c r="AI886" s="34" t="n"/>
    </row>
    <row r="887" ht="14.25" customHeight="1" s="35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  <c r="AA887" s="34" t="n"/>
      <c r="AB887" s="34" t="n"/>
      <c r="AC887" s="34" t="n"/>
      <c r="AD887" s="34" t="n"/>
      <c r="AE887" s="34" t="n"/>
      <c r="AF887" s="34" t="n"/>
      <c r="AG887" s="34" t="n"/>
      <c r="AH887" s="34" t="n"/>
      <c r="AI887" s="34" t="n"/>
    </row>
    <row r="888" ht="14.25" customHeight="1" s="35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  <c r="AA888" s="34" t="n"/>
      <c r="AB888" s="34" t="n"/>
      <c r="AC888" s="34" t="n"/>
      <c r="AD888" s="34" t="n"/>
      <c r="AE888" s="34" t="n"/>
      <c r="AF888" s="34" t="n"/>
      <c r="AG888" s="34" t="n"/>
      <c r="AH888" s="34" t="n"/>
      <c r="AI888" s="34" t="n"/>
    </row>
    <row r="889" ht="14.25" customHeight="1" s="35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  <c r="AA889" s="34" t="n"/>
      <c r="AB889" s="34" t="n"/>
      <c r="AC889" s="34" t="n"/>
      <c r="AD889" s="34" t="n"/>
      <c r="AE889" s="34" t="n"/>
      <c r="AF889" s="34" t="n"/>
      <c r="AG889" s="34" t="n"/>
      <c r="AH889" s="34" t="n"/>
      <c r="AI889" s="34" t="n"/>
    </row>
    <row r="890" ht="14.25" customHeight="1" s="35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  <c r="AA890" s="34" t="n"/>
      <c r="AB890" s="34" t="n"/>
      <c r="AC890" s="34" t="n"/>
      <c r="AD890" s="34" t="n"/>
      <c r="AE890" s="34" t="n"/>
      <c r="AF890" s="34" t="n"/>
      <c r="AG890" s="34" t="n"/>
      <c r="AH890" s="34" t="n"/>
      <c r="AI890" s="34" t="n"/>
    </row>
    <row r="891" ht="14.25" customHeight="1" s="35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  <c r="AA891" s="34" t="n"/>
      <c r="AB891" s="34" t="n"/>
      <c r="AC891" s="34" t="n"/>
      <c r="AD891" s="34" t="n"/>
      <c r="AE891" s="34" t="n"/>
      <c r="AF891" s="34" t="n"/>
      <c r="AG891" s="34" t="n"/>
      <c r="AH891" s="34" t="n"/>
      <c r="AI891" s="34" t="n"/>
    </row>
    <row r="892" ht="14.25" customHeight="1" s="35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  <c r="AA892" s="34" t="n"/>
      <c r="AB892" s="34" t="n"/>
      <c r="AC892" s="34" t="n"/>
      <c r="AD892" s="34" t="n"/>
      <c r="AE892" s="34" t="n"/>
      <c r="AF892" s="34" t="n"/>
      <c r="AG892" s="34" t="n"/>
      <c r="AH892" s="34" t="n"/>
      <c r="AI892" s="34" t="n"/>
    </row>
    <row r="893" ht="14.25" customHeight="1" s="35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  <c r="AA893" s="34" t="n"/>
      <c r="AB893" s="34" t="n"/>
      <c r="AC893" s="34" t="n"/>
      <c r="AD893" s="34" t="n"/>
      <c r="AE893" s="34" t="n"/>
      <c r="AF893" s="34" t="n"/>
      <c r="AG893" s="34" t="n"/>
      <c r="AH893" s="34" t="n"/>
      <c r="AI893" s="34" t="n"/>
    </row>
    <row r="894" ht="14.25" customHeight="1" s="35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  <c r="AA894" s="34" t="n"/>
      <c r="AB894" s="34" t="n"/>
      <c r="AC894" s="34" t="n"/>
      <c r="AD894" s="34" t="n"/>
      <c r="AE894" s="34" t="n"/>
      <c r="AF894" s="34" t="n"/>
      <c r="AG894" s="34" t="n"/>
      <c r="AH894" s="34" t="n"/>
      <c r="AI894" s="34" t="n"/>
    </row>
    <row r="895" ht="14.25" customHeight="1" s="3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  <c r="AA895" s="34" t="n"/>
      <c r="AB895" s="34" t="n"/>
      <c r="AC895" s="34" t="n"/>
      <c r="AD895" s="34" t="n"/>
      <c r="AE895" s="34" t="n"/>
      <c r="AF895" s="34" t="n"/>
      <c r="AG895" s="34" t="n"/>
      <c r="AH895" s="34" t="n"/>
      <c r="AI895" s="34" t="n"/>
    </row>
    <row r="896" ht="14.25" customHeight="1" s="35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  <c r="AA896" s="34" t="n"/>
      <c r="AB896" s="34" t="n"/>
      <c r="AC896" s="34" t="n"/>
      <c r="AD896" s="34" t="n"/>
      <c r="AE896" s="34" t="n"/>
      <c r="AF896" s="34" t="n"/>
      <c r="AG896" s="34" t="n"/>
      <c r="AH896" s="34" t="n"/>
      <c r="AI896" s="34" t="n"/>
    </row>
    <row r="897" ht="14.25" customHeight="1" s="35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  <c r="AA897" s="34" t="n"/>
      <c r="AB897" s="34" t="n"/>
      <c r="AC897" s="34" t="n"/>
      <c r="AD897" s="34" t="n"/>
      <c r="AE897" s="34" t="n"/>
      <c r="AF897" s="34" t="n"/>
      <c r="AG897" s="34" t="n"/>
      <c r="AH897" s="34" t="n"/>
      <c r="AI897" s="34" t="n"/>
    </row>
    <row r="898" ht="14.25" customHeight="1" s="35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  <c r="AA898" s="34" t="n"/>
      <c r="AB898" s="34" t="n"/>
      <c r="AC898" s="34" t="n"/>
      <c r="AD898" s="34" t="n"/>
      <c r="AE898" s="34" t="n"/>
      <c r="AF898" s="34" t="n"/>
      <c r="AG898" s="34" t="n"/>
      <c r="AH898" s="34" t="n"/>
      <c r="AI898" s="34" t="n"/>
    </row>
    <row r="899" ht="14.25" customHeight="1" s="35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  <c r="AA899" s="34" t="n"/>
      <c r="AB899" s="34" t="n"/>
      <c r="AC899" s="34" t="n"/>
      <c r="AD899" s="34" t="n"/>
      <c r="AE899" s="34" t="n"/>
      <c r="AF899" s="34" t="n"/>
      <c r="AG899" s="34" t="n"/>
      <c r="AH899" s="34" t="n"/>
      <c r="AI899" s="34" t="n"/>
    </row>
    <row r="900" ht="14.25" customHeight="1" s="35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  <c r="AA900" s="34" t="n"/>
      <c r="AB900" s="34" t="n"/>
      <c r="AC900" s="34" t="n"/>
      <c r="AD900" s="34" t="n"/>
      <c r="AE900" s="34" t="n"/>
      <c r="AF900" s="34" t="n"/>
      <c r="AG900" s="34" t="n"/>
      <c r="AH900" s="34" t="n"/>
      <c r="AI900" s="34" t="n"/>
    </row>
    <row r="901" ht="14.25" customHeight="1" s="35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  <c r="AA901" s="34" t="n"/>
      <c r="AB901" s="34" t="n"/>
      <c r="AC901" s="34" t="n"/>
      <c r="AD901" s="34" t="n"/>
      <c r="AE901" s="34" t="n"/>
      <c r="AF901" s="34" t="n"/>
      <c r="AG901" s="34" t="n"/>
      <c r="AH901" s="34" t="n"/>
      <c r="AI901" s="34" t="n"/>
    </row>
    <row r="902" ht="14.25" customHeight="1" s="35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  <c r="AA902" s="34" t="n"/>
      <c r="AB902" s="34" t="n"/>
      <c r="AC902" s="34" t="n"/>
      <c r="AD902" s="34" t="n"/>
      <c r="AE902" s="34" t="n"/>
      <c r="AF902" s="34" t="n"/>
      <c r="AG902" s="34" t="n"/>
      <c r="AH902" s="34" t="n"/>
      <c r="AI902" s="34" t="n"/>
    </row>
    <row r="903" ht="14.25" customHeight="1" s="35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  <c r="AA903" s="34" t="n"/>
      <c r="AB903" s="34" t="n"/>
      <c r="AC903" s="34" t="n"/>
      <c r="AD903" s="34" t="n"/>
      <c r="AE903" s="34" t="n"/>
      <c r="AF903" s="34" t="n"/>
      <c r="AG903" s="34" t="n"/>
      <c r="AH903" s="34" t="n"/>
      <c r="AI903" s="34" t="n"/>
    </row>
    <row r="904" ht="14.25" customHeight="1" s="35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  <c r="AA904" s="34" t="n"/>
      <c r="AB904" s="34" t="n"/>
      <c r="AC904" s="34" t="n"/>
      <c r="AD904" s="34" t="n"/>
      <c r="AE904" s="34" t="n"/>
      <c r="AF904" s="34" t="n"/>
      <c r="AG904" s="34" t="n"/>
      <c r="AH904" s="34" t="n"/>
      <c r="AI904" s="34" t="n"/>
    </row>
    <row r="905" ht="14.25" customHeight="1" s="3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  <c r="AA905" s="34" t="n"/>
      <c r="AB905" s="34" t="n"/>
      <c r="AC905" s="34" t="n"/>
      <c r="AD905" s="34" t="n"/>
      <c r="AE905" s="34" t="n"/>
      <c r="AF905" s="34" t="n"/>
      <c r="AG905" s="34" t="n"/>
      <c r="AH905" s="34" t="n"/>
      <c r="AI905" s="34" t="n"/>
    </row>
    <row r="906" ht="14.25" customHeight="1" s="35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  <c r="AA906" s="34" t="n"/>
      <c r="AB906" s="34" t="n"/>
      <c r="AC906" s="34" t="n"/>
      <c r="AD906" s="34" t="n"/>
      <c r="AE906" s="34" t="n"/>
      <c r="AF906" s="34" t="n"/>
      <c r="AG906" s="34" t="n"/>
      <c r="AH906" s="34" t="n"/>
      <c r="AI906" s="34" t="n"/>
    </row>
    <row r="907" ht="14.25" customHeight="1" s="35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  <c r="AA907" s="34" t="n"/>
      <c r="AB907" s="34" t="n"/>
      <c r="AC907" s="34" t="n"/>
      <c r="AD907" s="34" t="n"/>
      <c r="AE907" s="34" t="n"/>
      <c r="AF907" s="34" t="n"/>
      <c r="AG907" s="34" t="n"/>
      <c r="AH907" s="34" t="n"/>
      <c r="AI907" s="34" t="n"/>
    </row>
    <row r="908" ht="14.25" customHeight="1" s="35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  <c r="AA908" s="34" t="n"/>
      <c r="AB908" s="34" t="n"/>
      <c r="AC908" s="34" t="n"/>
      <c r="AD908" s="34" t="n"/>
      <c r="AE908" s="34" t="n"/>
      <c r="AF908" s="34" t="n"/>
      <c r="AG908" s="34" t="n"/>
      <c r="AH908" s="34" t="n"/>
      <c r="AI908" s="34" t="n"/>
    </row>
    <row r="909" ht="14.25" customHeight="1" s="35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  <c r="AA909" s="34" t="n"/>
      <c r="AB909" s="34" t="n"/>
      <c r="AC909" s="34" t="n"/>
      <c r="AD909" s="34" t="n"/>
      <c r="AE909" s="34" t="n"/>
      <c r="AF909" s="34" t="n"/>
      <c r="AG909" s="34" t="n"/>
      <c r="AH909" s="34" t="n"/>
      <c r="AI909" s="34" t="n"/>
    </row>
    <row r="910" ht="14.25" customHeight="1" s="35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  <c r="AA910" s="34" t="n"/>
      <c r="AB910" s="34" t="n"/>
      <c r="AC910" s="34" t="n"/>
      <c r="AD910" s="34" t="n"/>
      <c r="AE910" s="34" t="n"/>
      <c r="AF910" s="34" t="n"/>
      <c r="AG910" s="34" t="n"/>
      <c r="AH910" s="34" t="n"/>
      <c r="AI910" s="34" t="n"/>
    </row>
    <row r="911" ht="14.25" customHeight="1" s="35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  <c r="AA911" s="34" t="n"/>
      <c r="AB911" s="34" t="n"/>
      <c r="AC911" s="34" t="n"/>
      <c r="AD911" s="34" t="n"/>
      <c r="AE911" s="34" t="n"/>
      <c r="AF911" s="34" t="n"/>
      <c r="AG911" s="34" t="n"/>
      <c r="AH911" s="34" t="n"/>
      <c r="AI911" s="34" t="n"/>
    </row>
    <row r="912" ht="14.25" customHeight="1" s="35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  <c r="AA912" s="34" t="n"/>
      <c r="AB912" s="34" t="n"/>
      <c r="AC912" s="34" t="n"/>
      <c r="AD912" s="34" t="n"/>
      <c r="AE912" s="34" t="n"/>
      <c r="AF912" s="34" t="n"/>
      <c r="AG912" s="34" t="n"/>
      <c r="AH912" s="34" t="n"/>
      <c r="AI912" s="34" t="n"/>
    </row>
    <row r="913" ht="14.25" customHeight="1" s="35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  <c r="AA913" s="34" t="n"/>
      <c r="AB913" s="34" t="n"/>
      <c r="AC913" s="34" t="n"/>
      <c r="AD913" s="34" t="n"/>
      <c r="AE913" s="34" t="n"/>
      <c r="AF913" s="34" t="n"/>
      <c r="AG913" s="34" t="n"/>
      <c r="AH913" s="34" t="n"/>
      <c r="AI913" s="34" t="n"/>
    </row>
    <row r="914" ht="14.25" customHeight="1" s="35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  <c r="AA914" s="34" t="n"/>
      <c r="AB914" s="34" t="n"/>
      <c r="AC914" s="34" t="n"/>
      <c r="AD914" s="34" t="n"/>
      <c r="AE914" s="34" t="n"/>
      <c r="AF914" s="34" t="n"/>
      <c r="AG914" s="34" t="n"/>
      <c r="AH914" s="34" t="n"/>
      <c r="AI914" s="34" t="n"/>
    </row>
    <row r="915" ht="14.25" customHeight="1" s="3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  <c r="AA915" s="34" t="n"/>
      <c r="AB915" s="34" t="n"/>
      <c r="AC915" s="34" t="n"/>
      <c r="AD915" s="34" t="n"/>
      <c r="AE915" s="34" t="n"/>
      <c r="AF915" s="34" t="n"/>
      <c r="AG915" s="34" t="n"/>
      <c r="AH915" s="34" t="n"/>
      <c r="AI915" s="34" t="n"/>
    </row>
    <row r="916" ht="14.25" customHeight="1" s="35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  <c r="AA916" s="34" t="n"/>
      <c r="AB916" s="34" t="n"/>
      <c r="AC916" s="34" t="n"/>
      <c r="AD916" s="34" t="n"/>
      <c r="AE916" s="34" t="n"/>
      <c r="AF916" s="34" t="n"/>
      <c r="AG916" s="34" t="n"/>
      <c r="AH916" s="34" t="n"/>
      <c r="AI916" s="34" t="n"/>
    </row>
    <row r="917" ht="14.25" customHeight="1" s="35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  <c r="AA917" s="34" t="n"/>
      <c r="AB917" s="34" t="n"/>
      <c r="AC917" s="34" t="n"/>
      <c r="AD917" s="34" t="n"/>
      <c r="AE917" s="34" t="n"/>
      <c r="AF917" s="34" t="n"/>
      <c r="AG917" s="34" t="n"/>
      <c r="AH917" s="34" t="n"/>
      <c r="AI917" s="34" t="n"/>
    </row>
    <row r="918" ht="14.25" customHeight="1" s="35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  <c r="AA918" s="34" t="n"/>
      <c r="AB918" s="34" t="n"/>
      <c r="AC918" s="34" t="n"/>
      <c r="AD918" s="34" t="n"/>
      <c r="AE918" s="34" t="n"/>
      <c r="AF918" s="34" t="n"/>
      <c r="AG918" s="34" t="n"/>
      <c r="AH918" s="34" t="n"/>
      <c r="AI918" s="34" t="n"/>
    </row>
    <row r="919" ht="14.25" customHeight="1" s="35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  <c r="AA919" s="34" t="n"/>
      <c r="AB919" s="34" t="n"/>
      <c r="AC919" s="34" t="n"/>
      <c r="AD919" s="34" t="n"/>
      <c r="AE919" s="34" t="n"/>
      <c r="AF919" s="34" t="n"/>
      <c r="AG919" s="34" t="n"/>
      <c r="AH919" s="34" t="n"/>
      <c r="AI919" s="34" t="n"/>
    </row>
    <row r="920" ht="14.25" customHeight="1" s="35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  <c r="AA920" s="34" t="n"/>
      <c r="AB920" s="34" t="n"/>
      <c r="AC920" s="34" t="n"/>
      <c r="AD920" s="34" t="n"/>
      <c r="AE920" s="34" t="n"/>
      <c r="AF920" s="34" t="n"/>
      <c r="AG920" s="34" t="n"/>
      <c r="AH920" s="34" t="n"/>
      <c r="AI920" s="34" t="n"/>
    </row>
    <row r="921" ht="14.25" customHeight="1" s="35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  <c r="AA921" s="34" t="n"/>
      <c r="AB921" s="34" t="n"/>
      <c r="AC921" s="34" t="n"/>
      <c r="AD921" s="34" t="n"/>
      <c r="AE921" s="34" t="n"/>
      <c r="AF921" s="34" t="n"/>
      <c r="AG921" s="34" t="n"/>
      <c r="AH921" s="34" t="n"/>
      <c r="AI921" s="34" t="n"/>
    </row>
    <row r="922" ht="14.25" customHeight="1" s="35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  <c r="AA922" s="34" t="n"/>
      <c r="AB922" s="34" t="n"/>
      <c r="AC922" s="34" t="n"/>
      <c r="AD922" s="34" t="n"/>
      <c r="AE922" s="34" t="n"/>
      <c r="AF922" s="34" t="n"/>
      <c r="AG922" s="34" t="n"/>
      <c r="AH922" s="34" t="n"/>
      <c r="AI922" s="34" t="n"/>
    </row>
    <row r="923" ht="14.25" customHeight="1" s="35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  <c r="AA923" s="34" t="n"/>
      <c r="AB923" s="34" t="n"/>
      <c r="AC923" s="34" t="n"/>
      <c r="AD923" s="34" t="n"/>
      <c r="AE923" s="34" t="n"/>
      <c r="AF923" s="34" t="n"/>
      <c r="AG923" s="34" t="n"/>
      <c r="AH923" s="34" t="n"/>
      <c r="AI923" s="34" t="n"/>
    </row>
    <row r="924" ht="14.25" customHeight="1" s="35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  <c r="AA924" s="34" t="n"/>
      <c r="AB924" s="34" t="n"/>
      <c r="AC924" s="34" t="n"/>
      <c r="AD924" s="34" t="n"/>
      <c r="AE924" s="34" t="n"/>
      <c r="AF924" s="34" t="n"/>
      <c r="AG924" s="34" t="n"/>
      <c r="AH924" s="34" t="n"/>
      <c r="AI924" s="34" t="n"/>
    </row>
    <row r="925" ht="14.25" customHeight="1" s="3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  <c r="AA925" s="34" t="n"/>
      <c r="AB925" s="34" t="n"/>
      <c r="AC925" s="34" t="n"/>
      <c r="AD925" s="34" t="n"/>
      <c r="AE925" s="34" t="n"/>
      <c r="AF925" s="34" t="n"/>
      <c r="AG925" s="34" t="n"/>
      <c r="AH925" s="34" t="n"/>
      <c r="AI925" s="34" t="n"/>
    </row>
    <row r="926" ht="14.25" customHeight="1" s="35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  <c r="AA926" s="34" t="n"/>
      <c r="AB926" s="34" t="n"/>
      <c r="AC926" s="34" t="n"/>
      <c r="AD926" s="34" t="n"/>
      <c r="AE926" s="34" t="n"/>
      <c r="AF926" s="34" t="n"/>
      <c r="AG926" s="34" t="n"/>
      <c r="AH926" s="34" t="n"/>
      <c r="AI926" s="34" t="n"/>
    </row>
    <row r="927" ht="14.25" customHeight="1" s="35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  <c r="AA927" s="34" t="n"/>
      <c r="AB927" s="34" t="n"/>
      <c r="AC927" s="34" t="n"/>
      <c r="AD927" s="34" t="n"/>
      <c r="AE927" s="34" t="n"/>
      <c r="AF927" s="34" t="n"/>
      <c r="AG927" s="34" t="n"/>
      <c r="AH927" s="34" t="n"/>
      <c r="AI927" s="34" t="n"/>
    </row>
    <row r="928" ht="14.25" customHeight="1" s="35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  <c r="AA928" s="34" t="n"/>
      <c r="AB928" s="34" t="n"/>
      <c r="AC928" s="34" t="n"/>
      <c r="AD928" s="34" t="n"/>
      <c r="AE928" s="34" t="n"/>
      <c r="AF928" s="34" t="n"/>
      <c r="AG928" s="34" t="n"/>
      <c r="AH928" s="34" t="n"/>
      <c r="AI928" s="34" t="n"/>
    </row>
    <row r="929" ht="14.25" customHeight="1" s="35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  <c r="AA929" s="34" t="n"/>
      <c r="AB929" s="34" t="n"/>
      <c r="AC929" s="34" t="n"/>
      <c r="AD929" s="34" t="n"/>
      <c r="AE929" s="34" t="n"/>
      <c r="AF929" s="34" t="n"/>
      <c r="AG929" s="34" t="n"/>
      <c r="AH929" s="34" t="n"/>
      <c r="AI929" s="34" t="n"/>
    </row>
    <row r="930" ht="14.25" customHeight="1" s="35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  <c r="AA930" s="34" t="n"/>
      <c r="AB930" s="34" t="n"/>
      <c r="AC930" s="34" t="n"/>
      <c r="AD930" s="34" t="n"/>
      <c r="AE930" s="34" t="n"/>
      <c r="AF930" s="34" t="n"/>
      <c r="AG930" s="34" t="n"/>
      <c r="AH930" s="34" t="n"/>
      <c r="AI930" s="34" t="n"/>
    </row>
    <row r="931" ht="14.25" customHeight="1" s="35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  <c r="AA931" s="34" t="n"/>
      <c r="AB931" s="34" t="n"/>
      <c r="AC931" s="34" t="n"/>
      <c r="AD931" s="34" t="n"/>
      <c r="AE931" s="34" t="n"/>
      <c r="AF931" s="34" t="n"/>
      <c r="AG931" s="34" t="n"/>
      <c r="AH931" s="34" t="n"/>
      <c r="AI931" s="34" t="n"/>
    </row>
    <row r="932" ht="14.25" customHeight="1" s="35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  <c r="AA932" s="34" t="n"/>
      <c r="AB932" s="34" t="n"/>
      <c r="AC932" s="34" t="n"/>
      <c r="AD932" s="34" t="n"/>
      <c r="AE932" s="34" t="n"/>
      <c r="AF932" s="34" t="n"/>
      <c r="AG932" s="34" t="n"/>
      <c r="AH932" s="34" t="n"/>
      <c r="AI932" s="34" t="n"/>
    </row>
    <row r="933" ht="14.25" customHeight="1" s="35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  <c r="AA933" s="34" t="n"/>
      <c r="AB933" s="34" t="n"/>
      <c r="AC933" s="34" t="n"/>
      <c r="AD933" s="34" t="n"/>
      <c r="AE933" s="34" t="n"/>
      <c r="AF933" s="34" t="n"/>
      <c r="AG933" s="34" t="n"/>
      <c r="AH933" s="34" t="n"/>
      <c r="AI933" s="34" t="n"/>
    </row>
    <row r="934" ht="14.25" customHeight="1" s="35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  <c r="AA934" s="34" t="n"/>
      <c r="AB934" s="34" t="n"/>
      <c r="AC934" s="34" t="n"/>
      <c r="AD934" s="34" t="n"/>
      <c r="AE934" s="34" t="n"/>
      <c r="AF934" s="34" t="n"/>
      <c r="AG934" s="34" t="n"/>
      <c r="AH934" s="34" t="n"/>
      <c r="AI934" s="34" t="n"/>
    </row>
    <row r="935" ht="14.25" customHeight="1" s="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  <c r="AA935" s="34" t="n"/>
      <c r="AB935" s="34" t="n"/>
      <c r="AC935" s="34" t="n"/>
      <c r="AD935" s="34" t="n"/>
      <c r="AE935" s="34" t="n"/>
      <c r="AF935" s="34" t="n"/>
      <c r="AG935" s="34" t="n"/>
      <c r="AH935" s="34" t="n"/>
      <c r="AI935" s="34" t="n"/>
    </row>
    <row r="936" ht="14.25" customHeight="1" s="35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  <c r="AA936" s="34" t="n"/>
      <c r="AB936" s="34" t="n"/>
      <c r="AC936" s="34" t="n"/>
      <c r="AD936" s="34" t="n"/>
      <c r="AE936" s="34" t="n"/>
      <c r="AF936" s="34" t="n"/>
      <c r="AG936" s="34" t="n"/>
      <c r="AH936" s="34" t="n"/>
      <c r="AI936" s="34" t="n"/>
    </row>
    <row r="937" ht="14.25" customHeight="1" s="35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  <c r="AA937" s="34" t="n"/>
      <c r="AB937" s="34" t="n"/>
      <c r="AC937" s="34" t="n"/>
      <c r="AD937" s="34" t="n"/>
      <c r="AE937" s="34" t="n"/>
      <c r="AF937" s="34" t="n"/>
      <c r="AG937" s="34" t="n"/>
      <c r="AH937" s="34" t="n"/>
      <c r="AI937" s="34" t="n"/>
    </row>
    <row r="938" ht="14.25" customHeight="1" s="35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  <c r="AA938" s="34" t="n"/>
      <c r="AB938" s="34" t="n"/>
      <c r="AC938" s="34" t="n"/>
      <c r="AD938" s="34" t="n"/>
      <c r="AE938" s="34" t="n"/>
      <c r="AF938" s="34" t="n"/>
      <c r="AG938" s="34" t="n"/>
      <c r="AH938" s="34" t="n"/>
      <c r="AI938" s="34" t="n"/>
    </row>
    <row r="939" ht="14.25" customHeight="1" s="35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  <c r="AA939" s="34" t="n"/>
      <c r="AB939" s="34" t="n"/>
      <c r="AC939" s="34" t="n"/>
      <c r="AD939" s="34" t="n"/>
      <c r="AE939" s="34" t="n"/>
      <c r="AF939" s="34" t="n"/>
      <c r="AG939" s="34" t="n"/>
      <c r="AH939" s="34" t="n"/>
      <c r="AI939" s="34" t="n"/>
    </row>
    <row r="940" ht="14.25" customHeight="1" s="35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  <c r="AA940" s="34" t="n"/>
      <c r="AB940" s="34" t="n"/>
      <c r="AC940" s="34" t="n"/>
      <c r="AD940" s="34" t="n"/>
      <c r="AE940" s="34" t="n"/>
      <c r="AF940" s="34" t="n"/>
      <c r="AG940" s="34" t="n"/>
      <c r="AH940" s="34" t="n"/>
      <c r="AI940" s="34" t="n"/>
    </row>
    <row r="941" ht="14.25" customHeight="1" s="35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  <c r="AA941" s="34" t="n"/>
      <c r="AB941" s="34" t="n"/>
      <c r="AC941" s="34" t="n"/>
      <c r="AD941" s="34" t="n"/>
      <c r="AE941" s="34" t="n"/>
      <c r="AF941" s="34" t="n"/>
      <c r="AG941" s="34" t="n"/>
      <c r="AH941" s="34" t="n"/>
      <c r="AI941" s="34" t="n"/>
    </row>
    <row r="942" ht="14.25" customHeight="1" s="35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  <c r="AA942" s="34" t="n"/>
      <c r="AB942" s="34" t="n"/>
      <c r="AC942" s="34" t="n"/>
      <c r="AD942" s="34" t="n"/>
      <c r="AE942" s="34" t="n"/>
      <c r="AF942" s="34" t="n"/>
      <c r="AG942" s="34" t="n"/>
      <c r="AH942" s="34" t="n"/>
      <c r="AI942" s="34" t="n"/>
    </row>
    <row r="943" ht="14.25" customHeight="1" s="35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  <c r="AA943" s="34" t="n"/>
      <c r="AB943" s="34" t="n"/>
      <c r="AC943" s="34" t="n"/>
      <c r="AD943" s="34" t="n"/>
      <c r="AE943" s="34" t="n"/>
      <c r="AF943" s="34" t="n"/>
      <c r="AG943" s="34" t="n"/>
      <c r="AH943" s="34" t="n"/>
      <c r="AI943" s="34" t="n"/>
    </row>
    <row r="944" ht="14.25" customHeight="1" s="35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  <c r="AA944" s="34" t="n"/>
      <c r="AB944" s="34" t="n"/>
      <c r="AC944" s="34" t="n"/>
      <c r="AD944" s="34" t="n"/>
      <c r="AE944" s="34" t="n"/>
      <c r="AF944" s="34" t="n"/>
      <c r="AG944" s="34" t="n"/>
      <c r="AH944" s="34" t="n"/>
      <c r="AI944" s="34" t="n"/>
    </row>
    <row r="945" ht="14.25" customHeight="1" s="3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  <c r="AA945" s="34" t="n"/>
      <c r="AB945" s="34" t="n"/>
      <c r="AC945" s="34" t="n"/>
      <c r="AD945" s="34" t="n"/>
      <c r="AE945" s="34" t="n"/>
      <c r="AF945" s="34" t="n"/>
      <c r="AG945" s="34" t="n"/>
      <c r="AH945" s="34" t="n"/>
      <c r="AI945" s="34" t="n"/>
    </row>
    <row r="946" ht="14.25" customHeight="1" s="35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  <c r="AA946" s="34" t="n"/>
      <c r="AB946" s="34" t="n"/>
      <c r="AC946" s="34" t="n"/>
      <c r="AD946" s="34" t="n"/>
      <c r="AE946" s="34" t="n"/>
      <c r="AF946" s="34" t="n"/>
      <c r="AG946" s="34" t="n"/>
      <c r="AH946" s="34" t="n"/>
      <c r="AI946" s="34" t="n"/>
    </row>
    <row r="947" ht="14.25" customHeight="1" s="35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  <c r="AA947" s="34" t="n"/>
      <c r="AB947" s="34" t="n"/>
      <c r="AC947" s="34" t="n"/>
      <c r="AD947" s="34" t="n"/>
      <c r="AE947" s="34" t="n"/>
      <c r="AF947" s="34" t="n"/>
      <c r="AG947" s="34" t="n"/>
      <c r="AH947" s="34" t="n"/>
      <c r="AI947" s="34" t="n"/>
    </row>
    <row r="948" ht="14.25" customHeight="1" s="35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  <c r="AA948" s="34" t="n"/>
      <c r="AB948" s="34" t="n"/>
      <c r="AC948" s="34" t="n"/>
      <c r="AD948" s="34" t="n"/>
      <c r="AE948" s="34" t="n"/>
      <c r="AF948" s="34" t="n"/>
      <c r="AG948" s="34" t="n"/>
      <c r="AH948" s="34" t="n"/>
      <c r="AI948" s="34" t="n"/>
    </row>
    <row r="949" ht="14.25" customHeight="1" s="35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  <c r="AA949" s="34" t="n"/>
      <c r="AB949" s="34" t="n"/>
      <c r="AC949" s="34" t="n"/>
      <c r="AD949" s="34" t="n"/>
      <c r="AE949" s="34" t="n"/>
      <c r="AF949" s="34" t="n"/>
      <c r="AG949" s="34" t="n"/>
      <c r="AH949" s="34" t="n"/>
      <c r="AI949" s="34" t="n"/>
    </row>
    <row r="950" ht="14.25" customHeight="1" s="35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  <c r="AA950" s="34" t="n"/>
      <c r="AB950" s="34" t="n"/>
      <c r="AC950" s="34" t="n"/>
      <c r="AD950" s="34" t="n"/>
      <c r="AE950" s="34" t="n"/>
      <c r="AF950" s="34" t="n"/>
      <c r="AG950" s="34" t="n"/>
      <c r="AH950" s="34" t="n"/>
      <c r="AI950" s="34" t="n"/>
    </row>
    <row r="951" ht="14.25" customHeight="1" s="35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  <c r="AA951" s="34" t="n"/>
      <c r="AB951" s="34" t="n"/>
      <c r="AC951" s="34" t="n"/>
      <c r="AD951" s="34" t="n"/>
      <c r="AE951" s="34" t="n"/>
      <c r="AF951" s="34" t="n"/>
      <c r="AG951" s="34" t="n"/>
      <c r="AH951" s="34" t="n"/>
      <c r="AI951" s="34" t="n"/>
    </row>
    <row r="952" ht="14.25" customHeight="1" s="35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  <c r="AA952" s="34" t="n"/>
      <c r="AB952" s="34" t="n"/>
      <c r="AC952" s="34" t="n"/>
      <c r="AD952" s="34" t="n"/>
      <c r="AE952" s="34" t="n"/>
      <c r="AF952" s="34" t="n"/>
      <c r="AG952" s="34" t="n"/>
      <c r="AH952" s="34" t="n"/>
      <c r="AI952" s="34" t="n"/>
    </row>
    <row r="953" ht="14.25" customHeight="1" s="35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  <c r="AA953" s="34" t="n"/>
      <c r="AB953" s="34" t="n"/>
      <c r="AC953" s="34" t="n"/>
      <c r="AD953" s="34" t="n"/>
      <c r="AE953" s="34" t="n"/>
      <c r="AF953" s="34" t="n"/>
      <c r="AG953" s="34" t="n"/>
      <c r="AH953" s="34" t="n"/>
      <c r="AI953" s="34" t="n"/>
    </row>
    <row r="954" ht="14.25" customHeight="1" s="35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  <c r="AA954" s="34" t="n"/>
      <c r="AB954" s="34" t="n"/>
      <c r="AC954" s="34" t="n"/>
      <c r="AD954" s="34" t="n"/>
      <c r="AE954" s="34" t="n"/>
      <c r="AF954" s="34" t="n"/>
      <c r="AG954" s="34" t="n"/>
      <c r="AH954" s="34" t="n"/>
      <c r="AI954" s="34" t="n"/>
    </row>
    <row r="955" ht="14.25" customHeight="1" s="3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  <c r="AA955" s="34" t="n"/>
      <c r="AB955" s="34" t="n"/>
      <c r="AC955" s="34" t="n"/>
      <c r="AD955" s="34" t="n"/>
      <c r="AE955" s="34" t="n"/>
      <c r="AF955" s="34" t="n"/>
      <c r="AG955" s="34" t="n"/>
      <c r="AH955" s="34" t="n"/>
      <c r="AI955" s="34" t="n"/>
    </row>
    <row r="956" ht="14.25" customHeight="1" s="35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  <c r="AA956" s="34" t="n"/>
      <c r="AB956" s="34" t="n"/>
      <c r="AC956" s="34" t="n"/>
      <c r="AD956" s="34" t="n"/>
      <c r="AE956" s="34" t="n"/>
      <c r="AF956" s="34" t="n"/>
      <c r="AG956" s="34" t="n"/>
      <c r="AH956" s="34" t="n"/>
      <c r="AI956" s="34" t="n"/>
    </row>
    <row r="957" ht="14.25" customHeight="1" s="35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  <c r="AA957" s="34" t="n"/>
      <c r="AB957" s="34" t="n"/>
      <c r="AC957" s="34" t="n"/>
      <c r="AD957" s="34" t="n"/>
      <c r="AE957" s="34" t="n"/>
      <c r="AF957" s="34" t="n"/>
      <c r="AG957" s="34" t="n"/>
      <c r="AH957" s="34" t="n"/>
      <c r="AI957" s="34" t="n"/>
    </row>
    <row r="958" ht="14.25" customHeight="1" s="35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  <c r="AA958" s="34" t="n"/>
      <c r="AB958" s="34" t="n"/>
      <c r="AC958" s="34" t="n"/>
      <c r="AD958" s="34" t="n"/>
      <c r="AE958" s="34" t="n"/>
      <c r="AF958" s="34" t="n"/>
      <c r="AG958" s="34" t="n"/>
      <c r="AH958" s="34" t="n"/>
      <c r="AI958" s="34" t="n"/>
    </row>
    <row r="959" ht="14.25" customHeight="1" s="35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  <c r="AA959" s="34" t="n"/>
      <c r="AB959" s="34" t="n"/>
      <c r="AC959" s="34" t="n"/>
      <c r="AD959" s="34" t="n"/>
      <c r="AE959" s="34" t="n"/>
      <c r="AF959" s="34" t="n"/>
      <c r="AG959" s="34" t="n"/>
      <c r="AH959" s="34" t="n"/>
      <c r="AI959" s="34" t="n"/>
    </row>
    <row r="960" ht="14.25" customHeight="1" s="35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  <c r="AA960" s="34" t="n"/>
      <c r="AB960" s="34" t="n"/>
      <c r="AC960" s="34" t="n"/>
      <c r="AD960" s="34" t="n"/>
      <c r="AE960" s="34" t="n"/>
      <c r="AF960" s="34" t="n"/>
      <c r="AG960" s="34" t="n"/>
      <c r="AH960" s="34" t="n"/>
      <c r="AI960" s="34" t="n"/>
    </row>
    <row r="961" ht="14.25" customHeight="1" s="35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  <c r="AA961" s="34" t="n"/>
      <c r="AB961" s="34" t="n"/>
      <c r="AC961" s="34" t="n"/>
      <c r="AD961" s="34" t="n"/>
      <c r="AE961" s="34" t="n"/>
      <c r="AF961" s="34" t="n"/>
      <c r="AG961" s="34" t="n"/>
      <c r="AH961" s="34" t="n"/>
      <c r="AI961" s="34" t="n"/>
    </row>
    <row r="962" ht="14.25" customHeight="1" s="35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  <c r="AA962" s="34" t="n"/>
      <c r="AB962" s="34" t="n"/>
      <c r="AC962" s="34" t="n"/>
      <c r="AD962" s="34" t="n"/>
      <c r="AE962" s="34" t="n"/>
      <c r="AF962" s="34" t="n"/>
      <c r="AG962" s="34" t="n"/>
      <c r="AH962" s="34" t="n"/>
      <c r="AI962" s="34" t="n"/>
    </row>
    <row r="963" ht="14.25" customHeight="1" s="35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  <c r="AA963" s="34" t="n"/>
      <c r="AB963" s="34" t="n"/>
      <c r="AC963" s="34" t="n"/>
      <c r="AD963" s="34" t="n"/>
      <c r="AE963" s="34" t="n"/>
      <c r="AF963" s="34" t="n"/>
      <c r="AG963" s="34" t="n"/>
      <c r="AH963" s="34" t="n"/>
      <c r="AI963" s="34" t="n"/>
    </row>
    <row r="964" ht="14.25" customHeight="1" s="35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  <c r="AA964" s="34" t="n"/>
      <c r="AB964" s="34" t="n"/>
      <c r="AC964" s="34" t="n"/>
      <c r="AD964" s="34" t="n"/>
      <c r="AE964" s="34" t="n"/>
      <c r="AF964" s="34" t="n"/>
      <c r="AG964" s="34" t="n"/>
      <c r="AH964" s="34" t="n"/>
      <c r="AI964" s="34" t="n"/>
    </row>
    <row r="965" ht="14.25" customHeight="1" s="35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  <c r="AA965" s="34" t="n"/>
      <c r="AB965" s="34" t="n"/>
      <c r="AC965" s="34" t="n"/>
      <c r="AD965" s="34" t="n"/>
      <c r="AE965" s="34" t="n"/>
      <c r="AF965" s="34" t="n"/>
      <c r="AG965" s="34" t="n"/>
      <c r="AH965" s="34" t="n"/>
      <c r="AI965" s="34" t="n"/>
    </row>
    <row r="966" ht="14.25" customHeight="1" s="35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  <c r="AA966" s="34" t="n"/>
      <c r="AB966" s="34" t="n"/>
      <c r="AC966" s="34" t="n"/>
      <c r="AD966" s="34" t="n"/>
      <c r="AE966" s="34" t="n"/>
      <c r="AF966" s="34" t="n"/>
      <c r="AG966" s="34" t="n"/>
      <c r="AH966" s="34" t="n"/>
      <c r="AI966" s="34" t="n"/>
    </row>
    <row r="967" ht="14.25" customHeight="1" s="35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  <c r="AA967" s="34" t="n"/>
      <c r="AB967" s="34" t="n"/>
      <c r="AC967" s="34" t="n"/>
      <c r="AD967" s="34" t="n"/>
      <c r="AE967" s="34" t="n"/>
      <c r="AF967" s="34" t="n"/>
      <c r="AG967" s="34" t="n"/>
      <c r="AH967" s="34" t="n"/>
      <c r="AI967" s="34" t="n"/>
    </row>
    <row r="968" ht="14.25" customHeight="1" s="35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  <c r="AA968" s="34" t="n"/>
      <c r="AB968" s="34" t="n"/>
      <c r="AC968" s="34" t="n"/>
      <c r="AD968" s="34" t="n"/>
      <c r="AE968" s="34" t="n"/>
      <c r="AF968" s="34" t="n"/>
      <c r="AG968" s="34" t="n"/>
      <c r="AH968" s="34" t="n"/>
      <c r="AI968" s="34" t="n"/>
    </row>
    <row r="969" ht="14.25" customHeight="1" s="35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  <c r="AA969" s="34" t="n"/>
      <c r="AB969" s="34" t="n"/>
      <c r="AC969" s="34" t="n"/>
      <c r="AD969" s="34" t="n"/>
      <c r="AE969" s="34" t="n"/>
      <c r="AF969" s="34" t="n"/>
      <c r="AG969" s="34" t="n"/>
      <c r="AH969" s="34" t="n"/>
      <c r="AI969" s="34" t="n"/>
    </row>
    <row r="970" ht="14.25" customHeight="1" s="35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  <c r="AA970" s="34" t="n"/>
      <c r="AB970" s="34" t="n"/>
      <c r="AC970" s="34" t="n"/>
      <c r="AD970" s="34" t="n"/>
      <c r="AE970" s="34" t="n"/>
      <c r="AF970" s="34" t="n"/>
      <c r="AG970" s="34" t="n"/>
      <c r="AH970" s="34" t="n"/>
      <c r="AI970" s="34" t="n"/>
    </row>
    <row r="971" ht="14.25" customHeight="1" s="35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  <c r="AA971" s="34" t="n"/>
      <c r="AB971" s="34" t="n"/>
      <c r="AC971" s="34" t="n"/>
      <c r="AD971" s="34" t="n"/>
      <c r="AE971" s="34" t="n"/>
      <c r="AF971" s="34" t="n"/>
      <c r="AG971" s="34" t="n"/>
      <c r="AH971" s="34" t="n"/>
      <c r="AI971" s="34" t="n"/>
    </row>
    <row r="972" ht="14.25" customHeight="1" s="35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  <c r="AA972" s="34" t="n"/>
      <c r="AB972" s="34" t="n"/>
      <c r="AC972" s="34" t="n"/>
      <c r="AD972" s="34" t="n"/>
      <c r="AE972" s="34" t="n"/>
      <c r="AF972" s="34" t="n"/>
      <c r="AG972" s="34" t="n"/>
      <c r="AH972" s="34" t="n"/>
      <c r="AI972" s="34" t="n"/>
    </row>
    <row r="973" ht="14.25" customHeight="1" s="35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  <c r="AA973" s="34" t="n"/>
      <c r="AB973" s="34" t="n"/>
      <c r="AC973" s="34" t="n"/>
      <c r="AD973" s="34" t="n"/>
      <c r="AE973" s="34" t="n"/>
      <c r="AF973" s="34" t="n"/>
      <c r="AG973" s="34" t="n"/>
      <c r="AH973" s="34" t="n"/>
      <c r="AI973" s="34" t="n"/>
    </row>
    <row r="974" ht="14.25" customHeight="1" s="35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  <c r="AA974" s="34" t="n"/>
      <c r="AB974" s="34" t="n"/>
      <c r="AC974" s="34" t="n"/>
      <c r="AD974" s="34" t="n"/>
      <c r="AE974" s="34" t="n"/>
      <c r="AF974" s="34" t="n"/>
      <c r="AG974" s="34" t="n"/>
      <c r="AH974" s="34" t="n"/>
      <c r="AI974" s="34" t="n"/>
    </row>
    <row r="975" ht="14.25" customHeight="1" s="35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  <c r="AA975" s="34" t="n"/>
      <c r="AB975" s="34" t="n"/>
      <c r="AC975" s="34" t="n"/>
      <c r="AD975" s="34" t="n"/>
      <c r="AE975" s="34" t="n"/>
      <c r="AF975" s="34" t="n"/>
      <c r="AG975" s="34" t="n"/>
      <c r="AH975" s="34" t="n"/>
      <c r="AI975" s="34" t="n"/>
    </row>
    <row r="976" ht="14.25" customHeight="1" s="35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  <c r="AA976" s="34" t="n"/>
      <c r="AB976" s="34" t="n"/>
      <c r="AC976" s="34" t="n"/>
      <c r="AD976" s="34" t="n"/>
      <c r="AE976" s="34" t="n"/>
      <c r="AF976" s="34" t="n"/>
      <c r="AG976" s="34" t="n"/>
      <c r="AH976" s="34" t="n"/>
      <c r="AI976" s="34" t="n"/>
    </row>
    <row r="977" ht="14.25" customHeight="1" s="35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  <c r="AA977" s="34" t="n"/>
      <c r="AB977" s="34" t="n"/>
      <c r="AC977" s="34" t="n"/>
      <c r="AD977" s="34" t="n"/>
      <c r="AE977" s="34" t="n"/>
      <c r="AF977" s="34" t="n"/>
      <c r="AG977" s="34" t="n"/>
      <c r="AH977" s="34" t="n"/>
      <c r="AI977" s="34" t="n"/>
    </row>
    <row r="978" ht="14.25" customHeight="1" s="35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  <c r="AA978" s="34" t="n"/>
      <c r="AB978" s="34" t="n"/>
      <c r="AC978" s="34" t="n"/>
      <c r="AD978" s="34" t="n"/>
      <c r="AE978" s="34" t="n"/>
      <c r="AF978" s="34" t="n"/>
      <c r="AG978" s="34" t="n"/>
      <c r="AH978" s="34" t="n"/>
      <c r="AI978" s="34" t="n"/>
    </row>
    <row r="979" ht="14.25" customHeight="1" s="35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  <c r="AA979" s="34" t="n"/>
      <c r="AB979" s="34" t="n"/>
      <c r="AC979" s="34" t="n"/>
      <c r="AD979" s="34" t="n"/>
      <c r="AE979" s="34" t="n"/>
      <c r="AF979" s="34" t="n"/>
      <c r="AG979" s="34" t="n"/>
      <c r="AH979" s="34" t="n"/>
      <c r="AI979" s="34" t="n"/>
    </row>
    <row r="980" ht="14.25" customHeight="1" s="35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  <c r="AA980" s="34" t="n"/>
      <c r="AB980" s="34" t="n"/>
      <c r="AC980" s="34" t="n"/>
      <c r="AD980" s="34" t="n"/>
      <c r="AE980" s="34" t="n"/>
      <c r="AF980" s="34" t="n"/>
      <c r="AG980" s="34" t="n"/>
      <c r="AH980" s="34" t="n"/>
      <c r="AI980" s="34" t="n"/>
    </row>
    <row r="981" ht="14.25" customHeight="1" s="35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  <c r="AA981" s="34" t="n"/>
      <c r="AB981" s="34" t="n"/>
      <c r="AC981" s="34" t="n"/>
      <c r="AD981" s="34" t="n"/>
      <c r="AE981" s="34" t="n"/>
      <c r="AF981" s="34" t="n"/>
      <c r="AG981" s="34" t="n"/>
      <c r="AH981" s="34" t="n"/>
      <c r="AI981" s="34" t="n"/>
    </row>
    <row r="982" ht="14.25" customHeight="1" s="35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  <c r="AA982" s="34" t="n"/>
      <c r="AB982" s="34" t="n"/>
      <c r="AC982" s="34" t="n"/>
      <c r="AD982" s="34" t="n"/>
      <c r="AE982" s="34" t="n"/>
      <c r="AF982" s="34" t="n"/>
      <c r="AG982" s="34" t="n"/>
      <c r="AH982" s="34" t="n"/>
      <c r="AI982" s="34" t="n"/>
    </row>
    <row r="983" ht="14.25" customHeight="1" s="35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  <c r="AA983" s="34" t="n"/>
      <c r="AB983" s="34" t="n"/>
      <c r="AC983" s="34" t="n"/>
      <c r="AD983" s="34" t="n"/>
      <c r="AE983" s="34" t="n"/>
      <c r="AF983" s="34" t="n"/>
      <c r="AG983" s="34" t="n"/>
      <c r="AH983" s="34" t="n"/>
      <c r="AI983" s="34" t="n"/>
    </row>
    <row r="984" ht="14.25" customHeight="1" s="35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  <c r="AA984" s="34" t="n"/>
      <c r="AB984" s="34" t="n"/>
      <c r="AC984" s="34" t="n"/>
      <c r="AD984" s="34" t="n"/>
      <c r="AE984" s="34" t="n"/>
      <c r="AF984" s="34" t="n"/>
      <c r="AG984" s="34" t="n"/>
      <c r="AH984" s="34" t="n"/>
      <c r="AI984" s="34" t="n"/>
    </row>
    <row r="985" ht="14.25" customHeight="1" s="35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  <c r="AA985" s="34" t="n"/>
      <c r="AB985" s="34" t="n"/>
      <c r="AC985" s="34" t="n"/>
      <c r="AD985" s="34" t="n"/>
      <c r="AE985" s="34" t="n"/>
      <c r="AF985" s="34" t="n"/>
      <c r="AG985" s="34" t="n"/>
      <c r="AH985" s="34" t="n"/>
      <c r="AI985" s="34" t="n"/>
    </row>
    <row r="986" ht="14.25" customHeight="1" s="35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  <c r="AA986" s="34" t="n"/>
      <c r="AB986" s="34" t="n"/>
      <c r="AC986" s="34" t="n"/>
      <c r="AD986" s="34" t="n"/>
      <c r="AE986" s="34" t="n"/>
      <c r="AF986" s="34" t="n"/>
      <c r="AG986" s="34" t="n"/>
      <c r="AH986" s="34" t="n"/>
      <c r="AI986" s="34" t="n"/>
    </row>
    <row r="987" ht="14.25" customHeight="1" s="35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  <c r="AA987" s="34" t="n"/>
      <c r="AB987" s="34" t="n"/>
      <c r="AC987" s="34" t="n"/>
      <c r="AD987" s="34" t="n"/>
      <c r="AE987" s="34" t="n"/>
      <c r="AF987" s="34" t="n"/>
      <c r="AG987" s="34" t="n"/>
      <c r="AH987" s="34" t="n"/>
      <c r="AI987" s="34" t="n"/>
    </row>
    <row r="988" ht="14.25" customHeight="1" s="35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  <c r="AA988" s="34" t="n"/>
      <c r="AB988" s="34" t="n"/>
      <c r="AC988" s="34" t="n"/>
      <c r="AD988" s="34" t="n"/>
      <c r="AE988" s="34" t="n"/>
      <c r="AF988" s="34" t="n"/>
      <c r="AG988" s="34" t="n"/>
      <c r="AH988" s="34" t="n"/>
      <c r="AI988" s="34" t="n"/>
    </row>
    <row r="989" ht="14.25" customHeight="1" s="35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  <c r="AA989" s="34" t="n"/>
      <c r="AB989" s="34" t="n"/>
      <c r="AC989" s="34" t="n"/>
      <c r="AD989" s="34" t="n"/>
      <c r="AE989" s="34" t="n"/>
      <c r="AF989" s="34" t="n"/>
      <c r="AG989" s="34" t="n"/>
      <c r="AH989" s="34" t="n"/>
      <c r="AI989" s="34" t="n"/>
    </row>
    <row r="990" ht="14.25" customHeight="1" s="35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  <c r="AA990" s="34" t="n"/>
      <c r="AB990" s="34" t="n"/>
      <c r="AC990" s="34" t="n"/>
      <c r="AD990" s="34" t="n"/>
      <c r="AE990" s="34" t="n"/>
      <c r="AF990" s="34" t="n"/>
      <c r="AG990" s="34" t="n"/>
      <c r="AH990" s="34" t="n"/>
      <c r="AI990" s="34" t="n"/>
    </row>
    <row r="991" ht="14.25" customHeight="1" s="35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  <c r="AA991" s="34" t="n"/>
      <c r="AB991" s="34" t="n"/>
      <c r="AC991" s="34" t="n"/>
      <c r="AD991" s="34" t="n"/>
      <c r="AE991" s="34" t="n"/>
      <c r="AF991" s="34" t="n"/>
      <c r="AG991" s="34" t="n"/>
      <c r="AH991" s="34" t="n"/>
      <c r="AI991" s="34" t="n"/>
    </row>
    <row r="992" ht="14.25" customHeight="1" s="35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  <c r="AA992" s="34" t="n"/>
      <c r="AB992" s="34" t="n"/>
      <c r="AC992" s="34" t="n"/>
      <c r="AD992" s="34" t="n"/>
      <c r="AE992" s="34" t="n"/>
      <c r="AF992" s="34" t="n"/>
      <c r="AG992" s="34" t="n"/>
      <c r="AH992" s="34" t="n"/>
      <c r="AI992" s="34" t="n"/>
    </row>
    <row r="993" ht="14.25" customHeight="1" s="35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  <c r="AA993" s="34" t="n"/>
      <c r="AB993" s="34" t="n"/>
      <c r="AC993" s="34" t="n"/>
      <c r="AD993" s="34" t="n"/>
      <c r="AE993" s="34" t="n"/>
      <c r="AF993" s="34" t="n"/>
      <c r="AG993" s="34" t="n"/>
      <c r="AH993" s="34" t="n"/>
      <c r="AI993" s="34" t="n"/>
    </row>
    <row r="994" ht="14.25" customHeight="1" s="35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  <c r="AA994" s="34" t="n"/>
      <c r="AB994" s="34" t="n"/>
      <c r="AC994" s="34" t="n"/>
      <c r="AD994" s="34" t="n"/>
      <c r="AE994" s="34" t="n"/>
      <c r="AF994" s="34" t="n"/>
      <c r="AG994" s="34" t="n"/>
      <c r="AH994" s="34" t="n"/>
      <c r="AI994" s="34" t="n"/>
    </row>
    <row r="995" ht="14.25" customHeight="1" s="35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  <c r="AA995" s="34" t="n"/>
      <c r="AB995" s="34" t="n"/>
      <c r="AC995" s="34" t="n"/>
      <c r="AD995" s="34" t="n"/>
      <c r="AE995" s="34" t="n"/>
      <c r="AF995" s="34" t="n"/>
      <c r="AG995" s="34" t="n"/>
      <c r="AH995" s="34" t="n"/>
      <c r="AI995" s="34" t="n"/>
    </row>
    <row r="996" ht="14.25" customHeight="1" s="35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  <c r="AA996" s="34" t="n"/>
      <c r="AB996" s="34" t="n"/>
      <c r="AC996" s="34" t="n"/>
      <c r="AD996" s="34" t="n"/>
      <c r="AE996" s="34" t="n"/>
      <c r="AF996" s="34" t="n"/>
      <c r="AG996" s="34" t="n"/>
      <c r="AH996" s="34" t="n"/>
      <c r="AI996" s="34" t="n"/>
    </row>
    <row r="997" ht="14.25" customHeight="1" s="35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  <c r="AA997" s="34" t="n"/>
      <c r="AB997" s="34" t="n"/>
      <c r="AC997" s="34" t="n"/>
      <c r="AD997" s="34" t="n"/>
      <c r="AE997" s="34" t="n"/>
      <c r="AF997" s="34" t="n"/>
      <c r="AG997" s="34" t="n"/>
      <c r="AH997" s="34" t="n"/>
      <c r="AI997" s="34" t="n"/>
    </row>
    <row r="998" ht="14.25" customHeight="1" s="35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  <c r="AA998" s="34" t="n"/>
      <c r="AB998" s="34" t="n"/>
      <c r="AC998" s="34" t="n"/>
      <c r="AD998" s="34" t="n"/>
      <c r="AE998" s="34" t="n"/>
      <c r="AF998" s="34" t="n"/>
      <c r="AG998" s="34" t="n"/>
      <c r="AH998" s="34" t="n"/>
      <c r="AI998" s="34" t="n"/>
    </row>
    <row r="999" ht="14.25" customHeight="1" s="35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  <c r="AA999" s="34" t="n"/>
      <c r="AB999" s="34" t="n"/>
      <c r="AC999" s="34" t="n"/>
      <c r="AD999" s="34" t="n"/>
      <c r="AE999" s="34" t="n"/>
      <c r="AF999" s="34" t="n"/>
      <c r="AG999" s="34" t="n"/>
      <c r="AH999" s="34" t="n"/>
      <c r="AI999" s="34" t="n"/>
    </row>
    <row r="1000" ht="14.25" customHeight="1" s="35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  <c r="AA1000" s="34" t="n"/>
      <c r="AB1000" s="34" t="n"/>
      <c r="AC1000" s="34" t="n"/>
      <c r="AD1000" s="34" t="n"/>
      <c r="AE1000" s="34" t="n"/>
      <c r="AF1000" s="34" t="n"/>
      <c r="AG1000" s="34" t="n"/>
      <c r="AH1000" s="34" t="n"/>
      <c r="AI1000" s="34" t="n"/>
    </row>
  </sheetData>
  <conditionalFormatting sqref="AF5:AF400">
    <cfRule type="cellIs" priority="1" operator="equal" dxfId="0">
      <formula>"OK"</formula>
    </cfRule>
    <cfRule type="cellIs" priority="2" operator="equal" dxfId="1">
      <formula>"Not started"</formula>
    </cfRule>
    <cfRule type="expression" priority="3" dxfId="2">
      <formula>AND(AF5&lt;&gt;"",AF5&lt;&gt;"OK",AF5&lt;&gt;"Not started")</formula>
    </cfRule>
  </conditionalFormatting>
  <conditionalFormatting sqref="G5:G400">
    <cfRule type="expression" priority="4" dxfId="3">
      <formula>AND(G5&lt;&gt;"",COUNTIFS($G$5:$G$400,G5,$J$5:$J$400,J5&amp;"")&gt;1)</formula>
    </cfRule>
  </conditionalFormatting>
  <dataValidations count="13">
    <dataValidation sqref="F5:F400" showDropDown="0" showInputMessage="1" showErrorMessage="1" allowBlank="1" prompt="Pick a value from the list." type="list">
      <formula1>Lists!$D$3:$D$6</formula1>
    </dataValidation>
    <dataValidation sqref="C5:C400" showDropDown="0" showInputMessage="1" showErrorMessage="1" allowBlank="1" prompt="Pick a value from the list." type="list">
      <formula1>Lists!$B$3:$B$10</formula1>
    </dataValidation>
    <dataValidation sqref="K5:L400 AC5:AC400" showDropDown="0" showInputMessage="1" showErrorMessage="1" allowBlank="1" prompt="Enter a date, e.g. 11-Aug-2023" type="date">
      <formula1>DATE(1950,1,1)</formula1>
      <formula2>DATE(2100,12,31)</formula2>
    </dataValidation>
    <dataValidation sqref="AA5:AA400" showDropDown="0" showInputMessage="1" showErrorMessage="1" allowBlank="1" prompt="Pick a value from the list." type="list">
      <formula1>Lists!$I$3:$I$7</formula1>
    </dataValidation>
    <dataValidation sqref="Z5:Z400" showDropDown="0" showInputMessage="1" showErrorMessage="1" allowBlank="1" prompt="Pick a value from the list." type="list">
      <formula1>Lists!$K$3:$K$6</formula1>
    </dataValidation>
    <dataValidation sqref="E5:E400" showDropDown="0" showInputMessage="1" showErrorMessage="1" allowBlank="1" prompt="Pick a value from the list." type="list">
      <formula1>Lists!$C$3:$C$8</formula1>
    </dataValidation>
    <dataValidation sqref="T5:T400" showDropDown="0" showInputMessage="1" showErrorMessage="1" allowBlank="1" prompt="Pick a value from the list." type="list">
      <formula1>Lists!$G$3:$G$8</formula1>
    </dataValidation>
    <dataValidation sqref="S5:S400 Y5:Y400" showDropDown="0" showInputMessage="1" showErrorMessage="1" allowBlank="1" prompt="Pick a value from the list." type="list">
      <formula1>Lists!$H$3:$H$4</formula1>
    </dataValidation>
    <dataValidation sqref="B5:B400" showDropDown="0" showInputMessage="1" showErrorMessage="1" allowBlank="1" prompt="Pick a value from the list." type="list">
      <formula1>Lists!$A$3:$A$4</formula1>
    </dataValidation>
    <dataValidation sqref="M5:M400" showDropDown="0" showInputMessage="1" showErrorMessage="1" allowBlank="1" prompt="Pick a value from the list." type="list">
      <formula1>Lists!$F$3:$F$8</formula1>
    </dataValidation>
    <dataValidation sqref="AG5:AG400" showDropDown="0" showInputMessage="1" showErrorMessage="1" allowBlank="1" prompt="Pick a value from the list." type="list">
      <formula1>Lists!$J$3:$J$5</formula1>
    </dataValidation>
    <dataValidation sqref="D5:D400" showDropDown="0" showInputMessage="0" showErrorMessage="0" allowBlank="1" type="list">
      <formula1>Lists!$L$3:$L$24</formula1>
    </dataValidation>
    <dataValidation sqref="I5:I400" showDropDown="0" showInputMessage="1" showErrorMessage="1" allowBlank="1" prompt="Pick a value from the list." type="list">
      <formula1>Lists!$E$3:$E$22</formula1>
    </dataValidation>
  </dataValidations>
  <hyperlinks>
    <hyperlink xmlns:r="http://schemas.openxmlformats.org/officeDocument/2006/relationships" ref="Q5" r:id="rId1"/>
    <hyperlink xmlns:r="http://schemas.openxmlformats.org/officeDocument/2006/relationships" ref="U5" r:id="rId2"/>
    <hyperlink xmlns:r="http://schemas.openxmlformats.org/officeDocument/2006/relationships" ref="AE5" r:id="rId3"/>
    <hyperlink xmlns:r="http://schemas.openxmlformats.org/officeDocument/2006/relationships" ref="Q6" r:id="rId4"/>
    <hyperlink xmlns:r="http://schemas.openxmlformats.org/officeDocument/2006/relationships" ref="U6" r:id="rId5"/>
    <hyperlink xmlns:r="http://schemas.openxmlformats.org/officeDocument/2006/relationships" ref="AE6" r:id="rId6"/>
    <hyperlink xmlns:r="http://schemas.openxmlformats.org/officeDocument/2006/relationships" ref="Q7" r:id="rId7"/>
    <hyperlink xmlns:r="http://schemas.openxmlformats.org/officeDocument/2006/relationships" ref="U7" r:id="rId8"/>
    <hyperlink xmlns:r="http://schemas.openxmlformats.org/officeDocument/2006/relationships" ref="AE7" r:id="rId9"/>
    <hyperlink xmlns:r="http://schemas.openxmlformats.org/officeDocument/2006/relationships" ref="Q8" r:id="rId10"/>
    <hyperlink xmlns:r="http://schemas.openxmlformats.org/officeDocument/2006/relationships" ref="U8" r:id="rId11"/>
    <hyperlink xmlns:r="http://schemas.openxmlformats.org/officeDocument/2006/relationships" ref="AE8" r:id="rId12"/>
    <hyperlink xmlns:r="http://schemas.openxmlformats.org/officeDocument/2006/relationships" ref="Q9" r:id="rId13"/>
    <hyperlink xmlns:r="http://schemas.openxmlformats.org/officeDocument/2006/relationships" ref="U9" r:id="rId14"/>
    <hyperlink xmlns:r="http://schemas.openxmlformats.org/officeDocument/2006/relationships" ref="AE9" r:id="rId15"/>
    <hyperlink xmlns:r="http://schemas.openxmlformats.org/officeDocument/2006/relationships" ref="Q10" r:id="rId16"/>
    <hyperlink xmlns:r="http://schemas.openxmlformats.org/officeDocument/2006/relationships" ref="U10" r:id="rId17"/>
    <hyperlink xmlns:r="http://schemas.openxmlformats.org/officeDocument/2006/relationships" ref="AE10" r:id="rId18"/>
    <hyperlink xmlns:r="http://schemas.openxmlformats.org/officeDocument/2006/relationships" ref="Q11" r:id="rId19"/>
    <hyperlink xmlns:r="http://schemas.openxmlformats.org/officeDocument/2006/relationships" ref="R11" r:id="rId20"/>
    <hyperlink xmlns:r="http://schemas.openxmlformats.org/officeDocument/2006/relationships" ref="U11" r:id="rId21"/>
    <hyperlink xmlns:r="http://schemas.openxmlformats.org/officeDocument/2006/relationships" ref="Q12" r:id="rId22"/>
    <hyperlink xmlns:r="http://schemas.openxmlformats.org/officeDocument/2006/relationships" ref="R12" r:id="rId23"/>
    <hyperlink xmlns:r="http://schemas.openxmlformats.org/officeDocument/2006/relationships" ref="U12" r:id="rId24"/>
    <hyperlink xmlns:r="http://schemas.openxmlformats.org/officeDocument/2006/relationships" ref="Q13" r:id="rId25"/>
    <hyperlink xmlns:r="http://schemas.openxmlformats.org/officeDocument/2006/relationships" ref="R13" r:id="rId26"/>
    <hyperlink xmlns:r="http://schemas.openxmlformats.org/officeDocument/2006/relationships" ref="U13" r:id="rId27"/>
    <hyperlink xmlns:r="http://schemas.openxmlformats.org/officeDocument/2006/relationships" ref="U14" r:id="rId28"/>
    <hyperlink xmlns:r="http://schemas.openxmlformats.org/officeDocument/2006/relationships" ref="AE14" r:id="rId29"/>
    <hyperlink xmlns:r="http://schemas.openxmlformats.org/officeDocument/2006/relationships" ref="U15" r:id="rId30"/>
    <hyperlink xmlns:r="http://schemas.openxmlformats.org/officeDocument/2006/relationships" ref="AE15" r:id="rId31"/>
    <hyperlink xmlns:r="http://schemas.openxmlformats.org/officeDocument/2006/relationships" ref="U16" r:id="rId32"/>
    <hyperlink xmlns:r="http://schemas.openxmlformats.org/officeDocument/2006/relationships" ref="AE16" r:id="rId33"/>
    <hyperlink xmlns:r="http://schemas.openxmlformats.org/officeDocument/2006/relationships" ref="U17" r:id="rId34"/>
    <hyperlink xmlns:r="http://schemas.openxmlformats.org/officeDocument/2006/relationships" ref="AE17" r:id="rId35"/>
    <hyperlink xmlns:r="http://schemas.openxmlformats.org/officeDocument/2006/relationships" ref="U18" r:id="rId36"/>
    <hyperlink xmlns:r="http://schemas.openxmlformats.org/officeDocument/2006/relationships" ref="AE18" r:id="rId37"/>
    <hyperlink xmlns:r="http://schemas.openxmlformats.org/officeDocument/2006/relationships" ref="U19" r:id="rId38"/>
    <hyperlink xmlns:r="http://schemas.openxmlformats.org/officeDocument/2006/relationships" ref="AE19" r:id="rId39"/>
    <hyperlink xmlns:r="http://schemas.openxmlformats.org/officeDocument/2006/relationships" ref="Q20" r:id="rId40"/>
    <hyperlink xmlns:r="http://schemas.openxmlformats.org/officeDocument/2006/relationships" ref="R20" r:id="rId41"/>
    <hyperlink xmlns:r="http://schemas.openxmlformats.org/officeDocument/2006/relationships" ref="U20" r:id="rId42"/>
    <hyperlink xmlns:r="http://schemas.openxmlformats.org/officeDocument/2006/relationships" ref="U21" r:id="rId43"/>
    <hyperlink xmlns:r="http://schemas.openxmlformats.org/officeDocument/2006/relationships" ref="AE21" r:id="rId44"/>
    <hyperlink xmlns:r="http://schemas.openxmlformats.org/officeDocument/2006/relationships" ref="U22" r:id="rId45"/>
    <hyperlink xmlns:r="http://schemas.openxmlformats.org/officeDocument/2006/relationships" ref="AE22" r:id="rId46"/>
    <hyperlink xmlns:r="http://schemas.openxmlformats.org/officeDocument/2006/relationships" ref="Q23" r:id="rId47"/>
    <hyperlink xmlns:r="http://schemas.openxmlformats.org/officeDocument/2006/relationships" ref="R23" r:id="rId48"/>
    <hyperlink xmlns:r="http://schemas.openxmlformats.org/officeDocument/2006/relationships" ref="U23" r:id="rId49"/>
    <hyperlink xmlns:r="http://schemas.openxmlformats.org/officeDocument/2006/relationships" ref="Q24" r:id="rId50"/>
    <hyperlink xmlns:r="http://schemas.openxmlformats.org/officeDocument/2006/relationships" ref="R24" r:id="rId51"/>
    <hyperlink xmlns:r="http://schemas.openxmlformats.org/officeDocument/2006/relationships" ref="U24" r:id="rId52"/>
    <hyperlink xmlns:r="http://schemas.openxmlformats.org/officeDocument/2006/relationships" ref="U25" r:id="rId53"/>
    <hyperlink xmlns:r="http://schemas.openxmlformats.org/officeDocument/2006/relationships" ref="AE25" r:id="rId54"/>
    <hyperlink xmlns:r="http://schemas.openxmlformats.org/officeDocument/2006/relationships" ref="U26" r:id="rId55"/>
    <hyperlink xmlns:r="http://schemas.openxmlformats.org/officeDocument/2006/relationships" ref="AE26" r:id="rId56"/>
    <hyperlink xmlns:r="http://schemas.openxmlformats.org/officeDocument/2006/relationships" ref="U27" r:id="rId57"/>
    <hyperlink xmlns:r="http://schemas.openxmlformats.org/officeDocument/2006/relationships" ref="AE27" r:id="rId58"/>
    <hyperlink xmlns:r="http://schemas.openxmlformats.org/officeDocument/2006/relationships" ref="U28" r:id="rId59"/>
    <hyperlink xmlns:r="http://schemas.openxmlformats.org/officeDocument/2006/relationships" ref="AE28" r:id="rId60"/>
    <hyperlink xmlns:r="http://schemas.openxmlformats.org/officeDocument/2006/relationships" ref="U29" r:id="rId61"/>
    <hyperlink xmlns:r="http://schemas.openxmlformats.org/officeDocument/2006/relationships" ref="AE29" r:id="rId62"/>
    <hyperlink xmlns:r="http://schemas.openxmlformats.org/officeDocument/2006/relationships" ref="U30" r:id="rId63"/>
    <hyperlink xmlns:r="http://schemas.openxmlformats.org/officeDocument/2006/relationships" ref="AE30" r:id="rId64"/>
    <hyperlink xmlns:r="http://schemas.openxmlformats.org/officeDocument/2006/relationships" ref="U31" r:id="rId65"/>
    <hyperlink xmlns:r="http://schemas.openxmlformats.org/officeDocument/2006/relationships" ref="AE31" r:id="rId66"/>
    <hyperlink xmlns:r="http://schemas.openxmlformats.org/officeDocument/2006/relationships" ref="U32" r:id="rId67"/>
    <hyperlink xmlns:r="http://schemas.openxmlformats.org/officeDocument/2006/relationships" ref="AE32" r:id="rId68"/>
    <hyperlink xmlns:r="http://schemas.openxmlformats.org/officeDocument/2006/relationships" ref="U33" r:id="rId69"/>
    <hyperlink xmlns:r="http://schemas.openxmlformats.org/officeDocument/2006/relationships" ref="AE33" r:id="rId70"/>
    <hyperlink xmlns:r="http://schemas.openxmlformats.org/officeDocument/2006/relationships" ref="U34" r:id="rId71"/>
    <hyperlink xmlns:r="http://schemas.openxmlformats.org/officeDocument/2006/relationships" ref="AE34" r:id="rId72"/>
    <hyperlink xmlns:r="http://schemas.openxmlformats.org/officeDocument/2006/relationships" ref="U35" r:id="rId73"/>
    <hyperlink xmlns:r="http://schemas.openxmlformats.org/officeDocument/2006/relationships" ref="AE35" r:id="rId74"/>
    <hyperlink xmlns:r="http://schemas.openxmlformats.org/officeDocument/2006/relationships" ref="U36" r:id="rId75"/>
    <hyperlink xmlns:r="http://schemas.openxmlformats.org/officeDocument/2006/relationships" ref="AE36" r:id="rId76"/>
    <hyperlink xmlns:r="http://schemas.openxmlformats.org/officeDocument/2006/relationships" ref="U37" r:id="rId77"/>
    <hyperlink xmlns:r="http://schemas.openxmlformats.org/officeDocument/2006/relationships" ref="AE37" r:id="rId78"/>
    <hyperlink xmlns:r="http://schemas.openxmlformats.org/officeDocument/2006/relationships" ref="U38" r:id="rId79"/>
    <hyperlink xmlns:r="http://schemas.openxmlformats.org/officeDocument/2006/relationships" ref="AE38" r:id="rId80"/>
    <hyperlink xmlns:r="http://schemas.openxmlformats.org/officeDocument/2006/relationships" ref="U39" r:id="rId81"/>
    <hyperlink xmlns:r="http://schemas.openxmlformats.org/officeDocument/2006/relationships" ref="AE39" r:id="rId82"/>
    <hyperlink xmlns:r="http://schemas.openxmlformats.org/officeDocument/2006/relationships" ref="U40" r:id="rId83"/>
    <hyperlink xmlns:r="http://schemas.openxmlformats.org/officeDocument/2006/relationships" ref="AE40" r:id="rId84"/>
    <hyperlink xmlns:r="http://schemas.openxmlformats.org/officeDocument/2006/relationships" ref="U41" r:id="rId85"/>
    <hyperlink xmlns:r="http://schemas.openxmlformats.org/officeDocument/2006/relationships" ref="AE41" r:id="rId86"/>
    <hyperlink xmlns:r="http://schemas.openxmlformats.org/officeDocument/2006/relationships" ref="U42" r:id="rId87"/>
    <hyperlink xmlns:r="http://schemas.openxmlformats.org/officeDocument/2006/relationships" ref="AE42" r:id="rId88"/>
    <hyperlink xmlns:r="http://schemas.openxmlformats.org/officeDocument/2006/relationships" ref="U43" r:id="rId89"/>
    <hyperlink xmlns:r="http://schemas.openxmlformats.org/officeDocument/2006/relationships" ref="AE43" r:id="rId90"/>
    <hyperlink xmlns:r="http://schemas.openxmlformats.org/officeDocument/2006/relationships" ref="U44" r:id="rId91"/>
    <hyperlink xmlns:r="http://schemas.openxmlformats.org/officeDocument/2006/relationships" ref="AE44" r:id="rId92"/>
    <hyperlink xmlns:r="http://schemas.openxmlformats.org/officeDocument/2006/relationships" ref="U45" r:id="rId93"/>
    <hyperlink xmlns:r="http://schemas.openxmlformats.org/officeDocument/2006/relationships" ref="AE45" r:id="rId94"/>
    <hyperlink xmlns:r="http://schemas.openxmlformats.org/officeDocument/2006/relationships" ref="U46" r:id="rId95"/>
    <hyperlink xmlns:r="http://schemas.openxmlformats.org/officeDocument/2006/relationships" ref="Q47" r:id="rId96"/>
    <hyperlink xmlns:r="http://schemas.openxmlformats.org/officeDocument/2006/relationships" ref="U47" r:id="rId97"/>
    <hyperlink xmlns:r="http://schemas.openxmlformats.org/officeDocument/2006/relationships" ref="U48" r:id="rId98"/>
    <hyperlink xmlns:r="http://schemas.openxmlformats.org/officeDocument/2006/relationships" ref="U49" r:id="rId99"/>
    <hyperlink xmlns:r="http://schemas.openxmlformats.org/officeDocument/2006/relationships" ref="U50" r:id="rId100"/>
    <hyperlink xmlns:r="http://schemas.openxmlformats.org/officeDocument/2006/relationships" ref="U51" r:id="rId101"/>
    <hyperlink xmlns:r="http://schemas.openxmlformats.org/officeDocument/2006/relationships" ref="R52" r:id="rId102"/>
    <hyperlink xmlns:r="http://schemas.openxmlformats.org/officeDocument/2006/relationships" ref="U52" r:id="rId103"/>
    <hyperlink xmlns:r="http://schemas.openxmlformats.org/officeDocument/2006/relationships" ref="Q53" r:id="rId104"/>
    <hyperlink xmlns:r="http://schemas.openxmlformats.org/officeDocument/2006/relationships" ref="U53" r:id="rId105"/>
    <hyperlink xmlns:r="http://schemas.openxmlformats.org/officeDocument/2006/relationships" ref="AE53" r:id="rId106"/>
    <hyperlink xmlns:r="http://schemas.openxmlformats.org/officeDocument/2006/relationships" ref="Q54" r:id="rId107"/>
    <hyperlink xmlns:r="http://schemas.openxmlformats.org/officeDocument/2006/relationships" ref="R54" r:id="rId108"/>
    <hyperlink xmlns:r="http://schemas.openxmlformats.org/officeDocument/2006/relationships" ref="U54" r:id="rId109"/>
    <hyperlink xmlns:r="http://schemas.openxmlformats.org/officeDocument/2006/relationships" ref="AE54" r:id="rId110"/>
    <hyperlink xmlns:r="http://schemas.openxmlformats.org/officeDocument/2006/relationships" ref="Q55" r:id="rId111"/>
    <hyperlink xmlns:r="http://schemas.openxmlformats.org/officeDocument/2006/relationships" ref="R55" r:id="rId112"/>
    <hyperlink xmlns:r="http://schemas.openxmlformats.org/officeDocument/2006/relationships" ref="U55" r:id="rId113"/>
    <hyperlink xmlns:r="http://schemas.openxmlformats.org/officeDocument/2006/relationships" ref="AE55" r:id="rId114"/>
    <hyperlink xmlns:r="http://schemas.openxmlformats.org/officeDocument/2006/relationships" ref="Q56" r:id="rId115"/>
    <hyperlink xmlns:r="http://schemas.openxmlformats.org/officeDocument/2006/relationships" ref="R56" r:id="rId116"/>
    <hyperlink xmlns:r="http://schemas.openxmlformats.org/officeDocument/2006/relationships" ref="U56" r:id="rId117"/>
    <hyperlink xmlns:r="http://schemas.openxmlformats.org/officeDocument/2006/relationships" ref="AE56" r:id="rId118"/>
    <hyperlink xmlns:r="http://schemas.openxmlformats.org/officeDocument/2006/relationships" ref="Q57" r:id="rId119"/>
    <hyperlink xmlns:r="http://schemas.openxmlformats.org/officeDocument/2006/relationships" ref="R57" r:id="rId120"/>
    <hyperlink xmlns:r="http://schemas.openxmlformats.org/officeDocument/2006/relationships" ref="U57" r:id="rId121"/>
    <hyperlink xmlns:r="http://schemas.openxmlformats.org/officeDocument/2006/relationships" ref="AE57" r:id="rId122"/>
    <hyperlink xmlns:r="http://schemas.openxmlformats.org/officeDocument/2006/relationships" ref="Q58" r:id="rId123"/>
    <hyperlink xmlns:r="http://schemas.openxmlformats.org/officeDocument/2006/relationships" ref="R58" r:id="rId124"/>
    <hyperlink xmlns:r="http://schemas.openxmlformats.org/officeDocument/2006/relationships" ref="U58" r:id="rId125"/>
    <hyperlink xmlns:r="http://schemas.openxmlformats.org/officeDocument/2006/relationships" ref="Q59" r:id="rId126"/>
    <hyperlink xmlns:r="http://schemas.openxmlformats.org/officeDocument/2006/relationships" ref="R59" r:id="rId127"/>
    <hyperlink xmlns:r="http://schemas.openxmlformats.org/officeDocument/2006/relationships" ref="U59" r:id="rId128"/>
    <hyperlink xmlns:r="http://schemas.openxmlformats.org/officeDocument/2006/relationships" ref="Q60" r:id="rId129"/>
    <hyperlink xmlns:r="http://schemas.openxmlformats.org/officeDocument/2006/relationships" ref="R60" r:id="rId130"/>
    <hyperlink xmlns:r="http://schemas.openxmlformats.org/officeDocument/2006/relationships" ref="U60" r:id="rId131"/>
    <hyperlink xmlns:r="http://schemas.openxmlformats.org/officeDocument/2006/relationships" ref="AE60" r:id="rId132"/>
    <hyperlink xmlns:r="http://schemas.openxmlformats.org/officeDocument/2006/relationships" ref="Q61" r:id="rId133"/>
    <hyperlink xmlns:r="http://schemas.openxmlformats.org/officeDocument/2006/relationships" ref="R61" r:id="rId134"/>
    <hyperlink xmlns:r="http://schemas.openxmlformats.org/officeDocument/2006/relationships" ref="U61" r:id="rId135"/>
    <hyperlink xmlns:r="http://schemas.openxmlformats.org/officeDocument/2006/relationships" ref="AE61" r:id="rId136"/>
    <hyperlink xmlns:r="http://schemas.openxmlformats.org/officeDocument/2006/relationships" ref="Q62" r:id="rId137"/>
    <hyperlink xmlns:r="http://schemas.openxmlformats.org/officeDocument/2006/relationships" ref="R62" r:id="rId138"/>
    <hyperlink xmlns:r="http://schemas.openxmlformats.org/officeDocument/2006/relationships" ref="U62" r:id="rId139"/>
    <hyperlink xmlns:r="http://schemas.openxmlformats.org/officeDocument/2006/relationships" ref="AE62" r:id="rId140"/>
    <hyperlink xmlns:r="http://schemas.openxmlformats.org/officeDocument/2006/relationships" ref="Q63" r:id="rId141"/>
    <hyperlink xmlns:r="http://schemas.openxmlformats.org/officeDocument/2006/relationships" ref="R63" r:id="rId142"/>
    <hyperlink xmlns:r="http://schemas.openxmlformats.org/officeDocument/2006/relationships" ref="U63" r:id="rId143"/>
    <hyperlink xmlns:r="http://schemas.openxmlformats.org/officeDocument/2006/relationships" ref="AE63" r:id="rId144"/>
    <hyperlink xmlns:r="http://schemas.openxmlformats.org/officeDocument/2006/relationships" ref="Q64" r:id="rId145"/>
    <hyperlink xmlns:r="http://schemas.openxmlformats.org/officeDocument/2006/relationships" ref="R64" r:id="rId146"/>
    <hyperlink xmlns:r="http://schemas.openxmlformats.org/officeDocument/2006/relationships" ref="U64" r:id="rId147"/>
    <hyperlink xmlns:r="http://schemas.openxmlformats.org/officeDocument/2006/relationships" ref="AE64" r:id="rId148"/>
    <hyperlink xmlns:r="http://schemas.openxmlformats.org/officeDocument/2006/relationships" ref="Q65" r:id="rId149"/>
    <hyperlink xmlns:r="http://schemas.openxmlformats.org/officeDocument/2006/relationships" ref="R65" r:id="rId150"/>
    <hyperlink xmlns:r="http://schemas.openxmlformats.org/officeDocument/2006/relationships" ref="U65" r:id="rId151"/>
    <hyperlink xmlns:r="http://schemas.openxmlformats.org/officeDocument/2006/relationships" ref="AE65" r:id="rId152"/>
    <hyperlink xmlns:r="http://schemas.openxmlformats.org/officeDocument/2006/relationships" ref="Q66" r:id="rId153"/>
    <hyperlink xmlns:r="http://schemas.openxmlformats.org/officeDocument/2006/relationships" ref="R66" r:id="rId154"/>
    <hyperlink xmlns:r="http://schemas.openxmlformats.org/officeDocument/2006/relationships" ref="U66" r:id="rId155"/>
    <hyperlink xmlns:r="http://schemas.openxmlformats.org/officeDocument/2006/relationships" ref="Q67" r:id="rId156"/>
    <hyperlink xmlns:r="http://schemas.openxmlformats.org/officeDocument/2006/relationships" ref="R67" r:id="rId157"/>
    <hyperlink xmlns:r="http://schemas.openxmlformats.org/officeDocument/2006/relationships" ref="U67" r:id="rId158"/>
    <hyperlink xmlns:r="http://schemas.openxmlformats.org/officeDocument/2006/relationships" ref="Q68" r:id="rId159"/>
    <hyperlink xmlns:r="http://schemas.openxmlformats.org/officeDocument/2006/relationships" ref="R68" r:id="rId160"/>
    <hyperlink xmlns:r="http://schemas.openxmlformats.org/officeDocument/2006/relationships" ref="U68" r:id="rId161"/>
    <hyperlink xmlns:r="http://schemas.openxmlformats.org/officeDocument/2006/relationships" ref="Q69" r:id="rId162"/>
    <hyperlink xmlns:r="http://schemas.openxmlformats.org/officeDocument/2006/relationships" ref="R69" r:id="rId163"/>
    <hyperlink xmlns:r="http://schemas.openxmlformats.org/officeDocument/2006/relationships" ref="U69" r:id="rId164"/>
    <hyperlink xmlns:r="http://schemas.openxmlformats.org/officeDocument/2006/relationships" ref="U70" r:id="rId165"/>
    <hyperlink xmlns:r="http://schemas.openxmlformats.org/officeDocument/2006/relationships" ref="AE70" r:id="rId166"/>
    <hyperlink xmlns:r="http://schemas.openxmlformats.org/officeDocument/2006/relationships" ref="Q71" r:id="rId167"/>
    <hyperlink xmlns:r="http://schemas.openxmlformats.org/officeDocument/2006/relationships" ref="R71" r:id="rId168"/>
    <hyperlink xmlns:r="http://schemas.openxmlformats.org/officeDocument/2006/relationships" ref="U71" r:id="rId169"/>
    <hyperlink xmlns:r="http://schemas.openxmlformats.org/officeDocument/2006/relationships" ref="Q72" r:id="rId170"/>
    <hyperlink xmlns:r="http://schemas.openxmlformats.org/officeDocument/2006/relationships" ref="R72" r:id="rId171"/>
    <hyperlink xmlns:r="http://schemas.openxmlformats.org/officeDocument/2006/relationships" ref="U72" r:id="rId172"/>
    <hyperlink xmlns:r="http://schemas.openxmlformats.org/officeDocument/2006/relationships" ref="AE72" r:id="rId173"/>
    <hyperlink xmlns:r="http://schemas.openxmlformats.org/officeDocument/2006/relationships" ref="Q73" r:id="rId174"/>
    <hyperlink xmlns:r="http://schemas.openxmlformats.org/officeDocument/2006/relationships" ref="R73" r:id="rId175"/>
    <hyperlink xmlns:r="http://schemas.openxmlformats.org/officeDocument/2006/relationships" ref="U73" r:id="rId176"/>
    <hyperlink xmlns:r="http://schemas.openxmlformats.org/officeDocument/2006/relationships" ref="AE73" r:id="rId177"/>
    <hyperlink xmlns:r="http://schemas.openxmlformats.org/officeDocument/2006/relationships" ref="Q74" r:id="rId178"/>
    <hyperlink xmlns:r="http://schemas.openxmlformats.org/officeDocument/2006/relationships" ref="R74" r:id="rId179"/>
    <hyperlink xmlns:r="http://schemas.openxmlformats.org/officeDocument/2006/relationships" ref="U74" r:id="rId180"/>
    <hyperlink xmlns:r="http://schemas.openxmlformats.org/officeDocument/2006/relationships" ref="AE74" r:id="rId181"/>
    <hyperlink xmlns:r="http://schemas.openxmlformats.org/officeDocument/2006/relationships" ref="Q75" r:id="rId182"/>
    <hyperlink xmlns:r="http://schemas.openxmlformats.org/officeDocument/2006/relationships" ref="R75" r:id="rId183"/>
    <hyperlink xmlns:r="http://schemas.openxmlformats.org/officeDocument/2006/relationships" ref="U75" r:id="rId184"/>
    <hyperlink xmlns:r="http://schemas.openxmlformats.org/officeDocument/2006/relationships" ref="AE75" r:id="rId185"/>
    <hyperlink xmlns:r="http://schemas.openxmlformats.org/officeDocument/2006/relationships" ref="Q76" r:id="rId186"/>
    <hyperlink xmlns:r="http://schemas.openxmlformats.org/officeDocument/2006/relationships" ref="R76" r:id="rId187"/>
    <hyperlink xmlns:r="http://schemas.openxmlformats.org/officeDocument/2006/relationships" ref="U76" r:id="rId188"/>
    <hyperlink xmlns:r="http://schemas.openxmlformats.org/officeDocument/2006/relationships" ref="Q77" r:id="rId189"/>
    <hyperlink xmlns:r="http://schemas.openxmlformats.org/officeDocument/2006/relationships" ref="R77" r:id="rId190"/>
    <hyperlink xmlns:r="http://schemas.openxmlformats.org/officeDocument/2006/relationships" ref="U77" r:id="rId191"/>
    <hyperlink xmlns:r="http://schemas.openxmlformats.org/officeDocument/2006/relationships" ref="Q78" r:id="rId192"/>
    <hyperlink xmlns:r="http://schemas.openxmlformats.org/officeDocument/2006/relationships" ref="R78" r:id="rId193"/>
    <hyperlink xmlns:r="http://schemas.openxmlformats.org/officeDocument/2006/relationships" ref="U78" r:id="rId194"/>
    <hyperlink xmlns:r="http://schemas.openxmlformats.org/officeDocument/2006/relationships" ref="AE78" r:id="rId195"/>
    <hyperlink xmlns:r="http://schemas.openxmlformats.org/officeDocument/2006/relationships" ref="Q79" r:id="rId196"/>
    <hyperlink xmlns:r="http://schemas.openxmlformats.org/officeDocument/2006/relationships" ref="U79" r:id="rId197"/>
    <hyperlink xmlns:r="http://schemas.openxmlformats.org/officeDocument/2006/relationships" ref="Q80" r:id="rId198"/>
    <hyperlink xmlns:r="http://schemas.openxmlformats.org/officeDocument/2006/relationships" ref="U80" r:id="rId199"/>
    <hyperlink xmlns:r="http://schemas.openxmlformats.org/officeDocument/2006/relationships" ref="U81" r:id="rId200"/>
    <hyperlink xmlns:r="http://schemas.openxmlformats.org/officeDocument/2006/relationships" ref="AE81" r:id="rId201"/>
    <hyperlink xmlns:r="http://schemas.openxmlformats.org/officeDocument/2006/relationships" ref="U82" r:id="rId202"/>
    <hyperlink xmlns:r="http://schemas.openxmlformats.org/officeDocument/2006/relationships" ref="AE82" r:id="rId203"/>
    <hyperlink xmlns:r="http://schemas.openxmlformats.org/officeDocument/2006/relationships" ref="U83" r:id="rId204"/>
    <hyperlink xmlns:r="http://schemas.openxmlformats.org/officeDocument/2006/relationships" ref="AE83" r:id="rId205"/>
    <hyperlink xmlns:r="http://schemas.openxmlformats.org/officeDocument/2006/relationships" ref="U84" r:id="rId206"/>
    <hyperlink xmlns:r="http://schemas.openxmlformats.org/officeDocument/2006/relationships" ref="AE84" r:id="rId207"/>
    <hyperlink xmlns:r="http://schemas.openxmlformats.org/officeDocument/2006/relationships" ref="Q85" r:id="rId208"/>
    <hyperlink xmlns:r="http://schemas.openxmlformats.org/officeDocument/2006/relationships" ref="R85" r:id="rId209"/>
    <hyperlink xmlns:r="http://schemas.openxmlformats.org/officeDocument/2006/relationships" ref="U85" r:id="rId210"/>
    <hyperlink xmlns:r="http://schemas.openxmlformats.org/officeDocument/2006/relationships" ref="AE85" r:id="rId211"/>
    <hyperlink xmlns:r="http://schemas.openxmlformats.org/officeDocument/2006/relationships" ref="Q86" r:id="rId212"/>
    <hyperlink xmlns:r="http://schemas.openxmlformats.org/officeDocument/2006/relationships" ref="R86" r:id="rId213"/>
    <hyperlink xmlns:r="http://schemas.openxmlformats.org/officeDocument/2006/relationships" ref="U86" r:id="rId214"/>
    <hyperlink xmlns:r="http://schemas.openxmlformats.org/officeDocument/2006/relationships" ref="AE86" r:id="rId215"/>
    <hyperlink xmlns:r="http://schemas.openxmlformats.org/officeDocument/2006/relationships" ref="Q87" r:id="rId216"/>
    <hyperlink xmlns:r="http://schemas.openxmlformats.org/officeDocument/2006/relationships" ref="R87" r:id="rId217"/>
    <hyperlink xmlns:r="http://schemas.openxmlformats.org/officeDocument/2006/relationships" ref="U87" r:id="rId218"/>
    <hyperlink xmlns:r="http://schemas.openxmlformats.org/officeDocument/2006/relationships" ref="Q88" r:id="rId219"/>
    <hyperlink xmlns:r="http://schemas.openxmlformats.org/officeDocument/2006/relationships" ref="R88" r:id="rId220"/>
    <hyperlink xmlns:r="http://schemas.openxmlformats.org/officeDocument/2006/relationships" ref="U88" r:id="rId221"/>
    <hyperlink xmlns:r="http://schemas.openxmlformats.org/officeDocument/2006/relationships" ref="AE88" r:id="rId222"/>
    <hyperlink xmlns:r="http://schemas.openxmlformats.org/officeDocument/2006/relationships" ref="Q89" r:id="rId223"/>
    <hyperlink xmlns:r="http://schemas.openxmlformats.org/officeDocument/2006/relationships" ref="R89" r:id="rId224"/>
    <hyperlink xmlns:r="http://schemas.openxmlformats.org/officeDocument/2006/relationships" ref="U89" r:id="rId225"/>
    <hyperlink xmlns:r="http://schemas.openxmlformats.org/officeDocument/2006/relationships" ref="AE89" r:id="rId226"/>
    <hyperlink xmlns:r="http://schemas.openxmlformats.org/officeDocument/2006/relationships" ref="Q90" r:id="rId227"/>
    <hyperlink xmlns:r="http://schemas.openxmlformats.org/officeDocument/2006/relationships" ref="R90" r:id="rId228"/>
    <hyperlink xmlns:r="http://schemas.openxmlformats.org/officeDocument/2006/relationships" ref="U90" r:id="rId229"/>
    <hyperlink xmlns:r="http://schemas.openxmlformats.org/officeDocument/2006/relationships" ref="AE90" r:id="rId230"/>
    <hyperlink xmlns:r="http://schemas.openxmlformats.org/officeDocument/2006/relationships" ref="Q91" r:id="rId231"/>
    <hyperlink xmlns:r="http://schemas.openxmlformats.org/officeDocument/2006/relationships" ref="R91" r:id="rId232"/>
    <hyperlink xmlns:r="http://schemas.openxmlformats.org/officeDocument/2006/relationships" ref="U91" r:id="rId233"/>
    <hyperlink xmlns:r="http://schemas.openxmlformats.org/officeDocument/2006/relationships" ref="AE91" r:id="rId234"/>
    <hyperlink xmlns:r="http://schemas.openxmlformats.org/officeDocument/2006/relationships" ref="Q92" location="gsc.tab=0&amp;gsc.q=OpenXR%20specification&amp;gsc.page=1" r:id="rId235"/>
    <hyperlink xmlns:r="http://schemas.openxmlformats.org/officeDocument/2006/relationships" ref="R92" r:id="rId236"/>
    <hyperlink xmlns:r="http://schemas.openxmlformats.org/officeDocument/2006/relationships" ref="U92" r:id="rId237"/>
    <hyperlink xmlns:r="http://schemas.openxmlformats.org/officeDocument/2006/relationships" ref="AE92" r:id="rId238"/>
  </hyperlink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35" min="1" max="1"/>
    <col width="14" customWidth="1" style="35" min="2" max="10"/>
    <col width="8.710000000000001" customWidth="1" style="35" min="11" max="26"/>
  </cols>
  <sheetData>
    <row r="1" ht="14.25" customHeight="1" s="35">
      <c r="A1" s="2" t="inlineStr">
        <is>
          <t>Progress - updates automatically from the Source Register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</row>
    <row r="2" ht="14.25" customHeight="1" s="35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</row>
    <row r="3" ht="14.25" customHeight="1" s="35">
      <c r="A3" s="5" t="inlineStr">
        <is>
          <t>By intern</t>
        </is>
      </c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</row>
    <row r="4" ht="14.25" customHeight="1" s="35">
      <c r="A4" s="8" t="inlineStr">
        <is>
          <t>Intern</t>
        </is>
      </c>
      <c r="B4" s="8" t="inlineStr">
        <is>
          <t>Rows Assigned</t>
        </is>
      </c>
      <c r="C4" s="8" t="inlineStr">
        <is>
          <t>To Find</t>
        </is>
      </c>
      <c r="D4" s="8" t="inlineStr">
        <is>
          <t>Downloaded</t>
        </is>
      </c>
      <c r="E4" s="8" t="inlineStr">
        <is>
          <t>Link Only / Licensed</t>
        </is>
      </c>
      <c r="F4" s="8" t="inlineStr">
        <is>
          <t>Blocked / Not Available</t>
        </is>
      </c>
      <c r="G4" s="8" t="inlineStr">
        <is>
          <t>Row Check OK</t>
        </is>
      </c>
      <c r="H4" s="8" t="inlineStr">
        <is>
          <t>QA Verified</t>
        </is>
      </c>
      <c r="I4" s="8" t="inlineStr">
        <is>
          <t>% Collected</t>
        </is>
      </c>
      <c r="J4" s="8" t="inlineStr">
        <is>
          <t>% QA Verified</t>
        </is>
      </c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</row>
    <row r="5" ht="14.25" customHeight="1" s="35">
      <c r="A5" s="17">
        <f>Lists!A3</f>
        <v/>
      </c>
      <c r="B5" s="17">
        <f>COUNTIFS('Source Register'!$B$5:$B$400,$A5,'Source Register'!$H$5:$H$400,"&lt;&gt;")</f>
        <v/>
      </c>
      <c r="C5" s="17">
        <f>COUNTIFS('Source Register'!$B$5:$B$400,$A5,'Source Register'!$T$5:$T$400,"To find")</f>
        <v/>
      </c>
      <c r="D5" s="17">
        <f>COUNTIFS('Source Register'!$B$5:$B$400,$A5,'Source Register'!$T$5:$T$400,"Downloaded")</f>
        <v/>
      </c>
      <c r="E5" s="17">
        <f>COUNTIFS('Source Register'!$B$5:$B$400,$A5,'Source Register'!$T$5:$T$400,"Found - link only")+COUNTIFS('Source Register'!$B$5:$B$400,$A5,'Source Register'!$T$5:$T$400,"Licensed - link only")</f>
        <v/>
      </c>
      <c r="F5" s="17">
        <f>COUNTIFS('Source Register'!$B$5:$B$400,$A5,'Source Register'!$T$5:$T$400,"Blocked - portal/login")+COUNTIFS('Source Register'!$B$5:$B$400,$A5,'Source Register'!$T$5:$T$400,"Not available")</f>
        <v/>
      </c>
      <c r="G5" s="17">
        <f>COUNTIFS('Source Register'!$B$5:$B$400,$A5,'Source Register'!$AF$5:$AF$400,"OK")</f>
        <v/>
      </c>
      <c r="H5" s="17">
        <f>COUNTIFS('Source Register'!$B$5:$B$400,$A5,'Source Register'!$AG$5:$AG$400,"Verified")</f>
        <v/>
      </c>
      <c r="I5" s="23">
        <f>IF(B5=0,0,(B5-C5)/B5)</f>
        <v/>
      </c>
      <c r="J5" s="23">
        <f>IF(B5=0,0,H5/B5)</f>
        <v/>
      </c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</row>
    <row r="6" ht="14.25" customHeight="1" s="35">
      <c r="A6" s="17">
        <f>Lists!A4</f>
        <v/>
      </c>
      <c r="B6" s="17">
        <f>COUNTIFS('Source Register'!$B$5:$B$400,$A6,'Source Register'!$H$5:$H$400,"&lt;&gt;")</f>
        <v/>
      </c>
      <c r="C6" s="17">
        <f>COUNTIFS('Source Register'!$B$5:$B$400,$A6,'Source Register'!$T$5:$T$400,"To find")</f>
        <v/>
      </c>
      <c r="D6" s="17">
        <f>COUNTIFS('Source Register'!$B$5:$B$400,$A6,'Source Register'!$T$5:$T$400,"Downloaded")</f>
        <v/>
      </c>
      <c r="E6" s="17">
        <f>COUNTIFS('Source Register'!$B$5:$B$400,$A6,'Source Register'!$T$5:$T$400,"Found - link only")+COUNTIFS('Source Register'!$B$5:$B$400,$A6,'Source Register'!$T$5:$T$400,"Licensed - link only")</f>
        <v/>
      </c>
      <c r="F6" s="17">
        <f>COUNTIFS('Source Register'!$B$5:$B$400,$A6,'Source Register'!$T$5:$T$400,"Blocked - portal/login")+COUNTIFS('Source Register'!$B$5:$B$400,$A6,'Source Register'!$T$5:$T$400,"Not available")</f>
        <v/>
      </c>
      <c r="G6" s="17">
        <f>COUNTIFS('Source Register'!$B$5:$B$400,$A6,'Source Register'!$AF$5:$AF$400,"OK")</f>
        <v/>
      </c>
      <c r="H6" s="17">
        <f>COUNTIFS('Source Register'!$B$5:$B$400,$A6,'Source Register'!$AG$5:$AG$400,"Verified")</f>
        <v/>
      </c>
      <c r="I6" s="23">
        <f>IF(B6=0,0,(B6-C6)/B6)</f>
        <v/>
      </c>
      <c r="J6" s="23">
        <f>IF(B6=0,0,H6/B6)</f>
        <v/>
      </c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4.25" customHeight="1" s="35">
      <c r="A7" s="25" t="inlineStr">
        <is>
          <t>Total</t>
        </is>
      </c>
      <c r="B7" s="25">
        <f>SUM(B5:B6)</f>
        <v/>
      </c>
      <c r="C7" s="25">
        <f>SUM(C5:C6)</f>
        <v/>
      </c>
      <c r="D7" s="25">
        <f>SUM(D5:D6)</f>
        <v/>
      </c>
      <c r="E7" s="25">
        <f>SUM(E5:E6)</f>
        <v/>
      </c>
      <c r="F7" s="25">
        <f>SUM(F5:F6)</f>
        <v/>
      </c>
      <c r="G7" s="25">
        <f>SUM(G5:G6)</f>
        <v/>
      </c>
      <c r="H7" s="25">
        <f>SUM(H5:H6)</f>
        <v/>
      </c>
      <c r="I7" s="26">
        <f>IF(B7=0,0,(B7-C7)/B7)</f>
        <v/>
      </c>
      <c r="J7" s="26">
        <f>IF(B7=0,0,H7/B7)</f>
        <v/>
      </c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 ht="14.25" customHeight="1" s="35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</row>
    <row r="9" ht="14.25" customHeight="1" s="35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4.25" customHeight="1" s="35">
      <c r="A10" s="5" t="inlineStr">
        <is>
          <t>By category</t>
        </is>
      </c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 ht="14.25" customHeight="1" s="35">
      <c r="A11" s="8" t="inlineStr">
        <is>
          <t>Category</t>
        </is>
      </c>
      <c r="B11" s="8" t="inlineStr">
        <is>
          <t>Rows</t>
        </is>
      </c>
      <c r="C11" s="8" t="inlineStr">
        <is>
          <t>To Find</t>
        </is>
      </c>
      <c r="D11" s="8" t="inlineStr">
        <is>
          <t>Downloaded</t>
        </is>
      </c>
      <c r="E11" s="8" t="inlineStr">
        <is>
          <t>Link Only / Licensed</t>
        </is>
      </c>
      <c r="F11" s="8" t="inlineStr">
        <is>
          <t>Blocked / Not Available</t>
        </is>
      </c>
      <c r="G11" s="8" t="inlineStr">
        <is>
          <t>Row Check OK</t>
        </is>
      </c>
      <c r="H11" s="8" t="inlineStr">
        <is>
          <t>QA Verified</t>
        </is>
      </c>
      <c r="I11" s="8" t="inlineStr">
        <is>
          <t>% Collected</t>
        </is>
      </c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 ht="14.25" customHeight="1" s="35">
      <c r="A12" s="17">
        <f>Lists!B3</f>
        <v/>
      </c>
      <c r="B12" s="17">
        <f>COUNTIFS('Source Register'!$C$5:$C$400,$A12,'Source Register'!$H$5:$H$400,"&lt;&gt;")</f>
        <v/>
      </c>
      <c r="C12" s="17">
        <f>COUNTIFS('Source Register'!$C$5:$C$400,$A12,'Source Register'!$T$5:$T$400,"To find")</f>
        <v/>
      </c>
      <c r="D12" s="17">
        <f>COUNTIFS('Source Register'!$C$5:$C$400,$A12,'Source Register'!$T$5:$T$400,"Downloaded")</f>
        <v/>
      </c>
      <c r="E12" s="17">
        <f>COUNTIFS('Source Register'!$C$5:$C$400,$A12,'Source Register'!$T$5:$T$400,"Found - link only")+COUNTIFS('Source Register'!$C$5:$C$400,$A12,'Source Register'!$T$5:$T$400,"Licensed - link only")</f>
        <v/>
      </c>
      <c r="F12" s="17">
        <f>COUNTIFS('Source Register'!$C$5:$C$400,$A12,'Source Register'!$T$5:$T$400,"Blocked - portal/login")+COUNTIFS('Source Register'!$C$5:$C$400,$A12,'Source Register'!$T$5:$T$400,"Not available")</f>
        <v/>
      </c>
      <c r="G12" s="17">
        <f>COUNTIFS('Source Register'!$C$5:$C$400,$A12,'Source Register'!$AF$5:$AF$400,"OK")</f>
        <v/>
      </c>
      <c r="H12" s="17">
        <f>COUNTIFS('Source Register'!$C$5:$C$400,$A12,'Source Register'!$AG$5:$AG$400,"Verified")</f>
        <v/>
      </c>
      <c r="I12" s="23">
        <f>IF(B12=0,0,(B12-C12)/B12)</f>
        <v/>
      </c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4.25" customHeight="1" s="35">
      <c r="A13" s="17">
        <f>Lists!B4</f>
        <v/>
      </c>
      <c r="B13" s="17">
        <f>COUNTIFS('Source Register'!$C$5:$C$400,$A13,'Source Register'!$H$5:$H$400,"&lt;&gt;")</f>
        <v/>
      </c>
      <c r="C13" s="17">
        <f>COUNTIFS('Source Register'!$C$5:$C$400,$A13,'Source Register'!$T$5:$T$400,"To find")</f>
        <v/>
      </c>
      <c r="D13" s="17">
        <f>COUNTIFS('Source Register'!$C$5:$C$400,$A13,'Source Register'!$T$5:$T$400,"Downloaded")</f>
        <v/>
      </c>
      <c r="E13" s="17">
        <f>COUNTIFS('Source Register'!$C$5:$C$400,$A13,'Source Register'!$T$5:$T$400,"Found - link only")+COUNTIFS('Source Register'!$C$5:$C$400,$A13,'Source Register'!$T$5:$T$400,"Licensed - link only")</f>
        <v/>
      </c>
      <c r="F13" s="17">
        <f>COUNTIFS('Source Register'!$C$5:$C$400,$A13,'Source Register'!$T$5:$T$400,"Blocked - portal/login")+COUNTIFS('Source Register'!$C$5:$C$400,$A13,'Source Register'!$T$5:$T$400,"Not available")</f>
        <v/>
      </c>
      <c r="G13" s="17">
        <f>COUNTIFS('Source Register'!$C$5:$C$400,$A13,'Source Register'!$AF$5:$AF$400,"OK")</f>
        <v/>
      </c>
      <c r="H13" s="17">
        <f>COUNTIFS('Source Register'!$C$5:$C$400,$A13,'Source Register'!$AG$5:$AG$400,"Verified")</f>
        <v/>
      </c>
      <c r="I13" s="23">
        <f>IF(B13=0,0,(B13-C13)/B13)</f>
        <v/>
      </c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 ht="14.25" customHeight="1" s="35">
      <c r="A14" s="17">
        <f>Lists!B5</f>
        <v/>
      </c>
      <c r="B14" s="17">
        <f>COUNTIFS('Source Register'!$C$5:$C$400,$A14,'Source Register'!$H$5:$H$400,"&lt;&gt;")</f>
        <v/>
      </c>
      <c r="C14" s="17">
        <f>COUNTIFS('Source Register'!$C$5:$C$400,$A14,'Source Register'!$T$5:$T$400,"To find")</f>
        <v/>
      </c>
      <c r="D14" s="17">
        <f>COUNTIFS('Source Register'!$C$5:$C$400,$A14,'Source Register'!$T$5:$T$400,"Downloaded")</f>
        <v/>
      </c>
      <c r="E14" s="17">
        <f>COUNTIFS('Source Register'!$C$5:$C$400,$A14,'Source Register'!$T$5:$T$400,"Found - link only")+COUNTIFS('Source Register'!$C$5:$C$400,$A14,'Source Register'!$T$5:$T$400,"Licensed - link only")</f>
        <v/>
      </c>
      <c r="F14" s="17">
        <f>COUNTIFS('Source Register'!$C$5:$C$400,$A14,'Source Register'!$T$5:$T$400,"Blocked - portal/login")+COUNTIFS('Source Register'!$C$5:$C$400,$A14,'Source Register'!$T$5:$T$400,"Not available")</f>
        <v/>
      </c>
      <c r="G14" s="17">
        <f>COUNTIFS('Source Register'!$C$5:$C$400,$A14,'Source Register'!$AF$5:$AF$400,"OK")</f>
        <v/>
      </c>
      <c r="H14" s="17">
        <f>COUNTIFS('Source Register'!$C$5:$C$400,$A14,'Source Register'!$AG$5:$AG$400,"Verified")</f>
        <v/>
      </c>
      <c r="I14" s="23">
        <f>IF(B14=0,0,(B14-C14)/B14)</f>
        <v/>
      </c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 ht="14.25" customHeight="1" s="35">
      <c r="A15" s="17">
        <f>Lists!B6</f>
        <v/>
      </c>
      <c r="B15" s="17">
        <f>COUNTIFS('Source Register'!$C$5:$C$400,$A15,'Source Register'!$H$5:$H$400,"&lt;&gt;")</f>
        <v/>
      </c>
      <c r="C15" s="17">
        <f>COUNTIFS('Source Register'!$C$5:$C$400,$A15,'Source Register'!$T$5:$T$400,"To find")</f>
        <v/>
      </c>
      <c r="D15" s="17">
        <f>COUNTIFS('Source Register'!$C$5:$C$400,$A15,'Source Register'!$T$5:$T$400,"Downloaded")</f>
        <v/>
      </c>
      <c r="E15" s="17">
        <f>COUNTIFS('Source Register'!$C$5:$C$400,$A15,'Source Register'!$T$5:$T$400,"Found - link only")+COUNTIFS('Source Register'!$C$5:$C$400,$A15,'Source Register'!$T$5:$T$400,"Licensed - link only")</f>
        <v/>
      </c>
      <c r="F15" s="17">
        <f>COUNTIFS('Source Register'!$C$5:$C$400,$A15,'Source Register'!$T$5:$T$400,"Blocked - portal/login")+COUNTIFS('Source Register'!$C$5:$C$400,$A15,'Source Register'!$T$5:$T$400,"Not available")</f>
        <v/>
      </c>
      <c r="G15" s="17">
        <f>COUNTIFS('Source Register'!$C$5:$C$400,$A15,'Source Register'!$AF$5:$AF$400,"OK")</f>
        <v/>
      </c>
      <c r="H15" s="17">
        <f>COUNTIFS('Source Register'!$C$5:$C$400,$A15,'Source Register'!$AG$5:$AG$400,"Verified")</f>
        <v/>
      </c>
      <c r="I15" s="23">
        <f>IF(B15=0,0,(B15-C15)/B15)</f>
        <v/>
      </c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4.25" customHeight="1" s="35">
      <c r="A16" s="17">
        <f>Lists!B7</f>
        <v/>
      </c>
      <c r="B16" s="17">
        <f>COUNTIFS('Source Register'!$C$5:$C$400,$A16,'Source Register'!$H$5:$H$400,"&lt;&gt;")</f>
        <v/>
      </c>
      <c r="C16" s="17">
        <f>COUNTIFS('Source Register'!$C$5:$C$400,$A16,'Source Register'!$T$5:$T$400,"To find")</f>
        <v/>
      </c>
      <c r="D16" s="17">
        <f>COUNTIFS('Source Register'!$C$5:$C$400,$A16,'Source Register'!$T$5:$T$400,"Downloaded")</f>
        <v/>
      </c>
      <c r="E16" s="17">
        <f>COUNTIFS('Source Register'!$C$5:$C$400,$A16,'Source Register'!$T$5:$T$400,"Found - link only")+COUNTIFS('Source Register'!$C$5:$C$400,$A16,'Source Register'!$T$5:$T$400,"Licensed - link only")</f>
        <v/>
      </c>
      <c r="F16" s="17">
        <f>COUNTIFS('Source Register'!$C$5:$C$400,$A16,'Source Register'!$T$5:$T$400,"Blocked - portal/login")+COUNTIFS('Source Register'!$C$5:$C$400,$A16,'Source Register'!$T$5:$T$400,"Not available")</f>
        <v/>
      </c>
      <c r="G16" s="17">
        <f>COUNTIFS('Source Register'!$C$5:$C$400,$A16,'Source Register'!$AF$5:$AF$400,"OK")</f>
        <v/>
      </c>
      <c r="H16" s="17">
        <f>COUNTIFS('Source Register'!$C$5:$C$400,$A16,'Source Register'!$AG$5:$AG$400,"Verified")</f>
        <v/>
      </c>
      <c r="I16" s="23">
        <f>IF(B16=0,0,(B16-C16)/B16)</f>
        <v/>
      </c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 ht="14.25" customHeight="1" s="35">
      <c r="A17" s="17">
        <f>Lists!B8</f>
        <v/>
      </c>
      <c r="B17" s="17">
        <f>COUNTIFS('Source Register'!$C$5:$C$400,$A17,'Source Register'!$H$5:$H$400,"&lt;&gt;")</f>
        <v/>
      </c>
      <c r="C17" s="17">
        <f>COUNTIFS('Source Register'!$C$5:$C$400,$A17,'Source Register'!$T$5:$T$400,"To find")</f>
        <v/>
      </c>
      <c r="D17" s="17">
        <f>COUNTIFS('Source Register'!$C$5:$C$400,$A17,'Source Register'!$T$5:$T$400,"Downloaded")</f>
        <v/>
      </c>
      <c r="E17" s="17">
        <f>COUNTIFS('Source Register'!$C$5:$C$400,$A17,'Source Register'!$T$5:$T$400,"Found - link only")+COUNTIFS('Source Register'!$C$5:$C$400,$A17,'Source Register'!$T$5:$T$400,"Licensed - link only")</f>
        <v/>
      </c>
      <c r="F17" s="17">
        <f>COUNTIFS('Source Register'!$C$5:$C$400,$A17,'Source Register'!$T$5:$T$400,"Blocked - portal/login")+COUNTIFS('Source Register'!$C$5:$C$400,$A17,'Source Register'!$T$5:$T$400,"Not available")</f>
        <v/>
      </c>
      <c r="G17" s="17">
        <f>COUNTIFS('Source Register'!$C$5:$C$400,$A17,'Source Register'!$AF$5:$AF$400,"OK")</f>
        <v/>
      </c>
      <c r="H17" s="17">
        <f>COUNTIFS('Source Register'!$C$5:$C$400,$A17,'Source Register'!$AG$5:$AG$400,"Verified")</f>
        <v/>
      </c>
      <c r="I17" s="23">
        <f>IF(B17=0,0,(B17-C17)/B17)</f>
        <v/>
      </c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14.25" customHeight="1" s="35">
      <c r="A18" s="17">
        <f>Lists!B9</f>
        <v/>
      </c>
      <c r="B18" s="17">
        <f>COUNTIFS('Source Register'!$C$5:$C$400,$A18,'Source Register'!$H$5:$H$400,"&lt;&gt;")</f>
        <v/>
      </c>
      <c r="C18" s="17">
        <f>COUNTIFS('Source Register'!$C$5:$C$400,$A18,'Source Register'!$T$5:$T$400,"To find")</f>
        <v/>
      </c>
      <c r="D18" s="17">
        <f>COUNTIFS('Source Register'!$C$5:$C$400,$A18,'Source Register'!$T$5:$T$400,"Downloaded")</f>
        <v/>
      </c>
      <c r="E18" s="17">
        <f>COUNTIFS('Source Register'!$C$5:$C$400,$A18,'Source Register'!$T$5:$T$400,"Found - link only")+COUNTIFS('Source Register'!$C$5:$C$400,$A18,'Source Register'!$T$5:$T$400,"Licensed - link only")</f>
        <v/>
      </c>
      <c r="F18" s="17">
        <f>COUNTIFS('Source Register'!$C$5:$C$400,$A18,'Source Register'!$T$5:$T$400,"Blocked - portal/login")+COUNTIFS('Source Register'!$C$5:$C$400,$A18,'Source Register'!$T$5:$T$400,"Not available")</f>
        <v/>
      </c>
      <c r="G18" s="17">
        <f>COUNTIFS('Source Register'!$C$5:$C$400,$A18,'Source Register'!$AF$5:$AF$400,"OK")</f>
        <v/>
      </c>
      <c r="H18" s="17">
        <f>COUNTIFS('Source Register'!$C$5:$C$400,$A18,'Source Register'!$AG$5:$AG$400,"Verified")</f>
        <v/>
      </c>
      <c r="I18" s="23">
        <f>IF(B18=0,0,(B18-C18)/B18)</f>
        <v/>
      </c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 ht="14.25" customHeight="1" s="35">
      <c r="A19" s="17">
        <f>Lists!B10</f>
        <v/>
      </c>
      <c r="B19" s="17">
        <f>COUNTIFS('Source Register'!$C$5:$C$400,$A19,'Source Register'!$H$5:$H$400,"&lt;&gt;")</f>
        <v/>
      </c>
      <c r="C19" s="17">
        <f>COUNTIFS('Source Register'!$C$5:$C$400,$A19,'Source Register'!$T$5:$T$400,"To find")</f>
        <v/>
      </c>
      <c r="D19" s="17">
        <f>COUNTIFS('Source Register'!$C$5:$C$400,$A19,'Source Register'!$T$5:$T$400,"Downloaded")</f>
        <v/>
      </c>
      <c r="E19" s="17">
        <f>COUNTIFS('Source Register'!$C$5:$C$400,$A19,'Source Register'!$T$5:$T$400,"Found - link only")+COUNTIFS('Source Register'!$C$5:$C$400,$A19,'Source Register'!$T$5:$T$400,"Licensed - link only")</f>
        <v/>
      </c>
      <c r="F19" s="17">
        <f>COUNTIFS('Source Register'!$C$5:$C$400,$A19,'Source Register'!$T$5:$T$400,"Blocked - portal/login")+COUNTIFS('Source Register'!$C$5:$C$400,$A19,'Source Register'!$T$5:$T$400,"Not available")</f>
        <v/>
      </c>
      <c r="G19" s="17">
        <f>COUNTIFS('Source Register'!$C$5:$C$400,$A19,'Source Register'!$AF$5:$AF$400,"OK")</f>
        <v/>
      </c>
      <c r="H19" s="17">
        <f>COUNTIFS('Source Register'!$C$5:$C$400,$A19,'Source Register'!$AG$5:$AG$400,"Verified")</f>
        <v/>
      </c>
      <c r="I19" s="23">
        <f>IF(B19=0,0,(B19-C19)/B19)</f>
        <v/>
      </c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 ht="14.25" customHeight="1" s="35">
      <c r="A20" s="25" t="inlineStr">
        <is>
          <t>Total</t>
        </is>
      </c>
      <c r="B20" s="25">
        <f>SUM(B12:B19)</f>
        <v/>
      </c>
      <c r="C20" s="25">
        <f>SUM(C12:C19)</f>
        <v/>
      </c>
      <c r="D20" s="25">
        <f>SUM(D12:D19)</f>
        <v/>
      </c>
      <c r="E20" s="25">
        <f>SUM(E12:E19)</f>
        <v/>
      </c>
      <c r="F20" s="25">
        <f>SUM(F12:F19)</f>
        <v/>
      </c>
      <c r="G20" s="25">
        <f>SUM(G12:G19)</f>
        <v/>
      </c>
      <c r="H20" s="25">
        <f>SUM(H12:H19)</f>
        <v/>
      </c>
      <c r="I20" s="23">
        <f>IF(B20=0,0,(B20-C20)/B20)</f>
        <v/>
      </c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 ht="14.25" customHeight="1" s="35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 ht="14.25" customHeight="1" s="35">
      <c r="A22" s="6" t="inlineStr">
        <is>
          <t>Target from the manager's brief: well over 100 versioned documents. Rows grow as interns add one row per version, amendment, institution type and programme.</t>
        </is>
      </c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 ht="14.25" customHeight="1" s="35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 ht="14.25" customHeight="1" s="35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 ht="14.25" customHeight="1" s="35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 ht="14.25" customHeight="1" s="35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 ht="14.25" customHeight="1" s="35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 ht="14.25" customHeight="1" s="35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 ht="14.25" customHeight="1" s="35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 ht="14.25" customHeight="1" s="35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 ht="14.25" customHeight="1" s="35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 ht="14.25" customHeight="1" s="35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 ht="14.25" customHeight="1" s="35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</row>
    <row r="34" ht="14.25" customHeight="1" s="35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</row>
    <row r="35" ht="14.25" customHeight="1" s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</row>
    <row r="36" ht="14.25" customHeight="1" s="35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</row>
    <row r="37" ht="14.25" customHeight="1" s="35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</row>
    <row r="38" ht="14.25" customHeight="1" s="35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</row>
    <row r="39" ht="14.25" customHeight="1" s="35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</row>
    <row r="40" ht="14.25" customHeight="1" s="35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</row>
    <row r="41" ht="14.25" customHeight="1" s="35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</row>
    <row r="42" ht="14.25" customHeight="1" s="35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 ht="14.25" customHeight="1" s="35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 ht="14.25" customHeight="1" s="35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4.25" customHeight="1" s="35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4.25" customHeight="1" s="35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4.25" customHeight="1" s="35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4.25" customHeight="1" s="35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 ht="14.25" customHeight="1" s="35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 ht="14.25" customHeight="1" s="35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 ht="14.25" customHeight="1" s="35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 ht="14.25" customHeight="1" s="35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 ht="14.25" customHeight="1" s="35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 ht="14.25" customHeight="1" s="35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 ht="14.25" customHeight="1" s="35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 ht="14.25" customHeight="1" s="35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4.25" customHeight="1" s="35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 ht="14.25" customHeight="1" s="35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 ht="14.25" customHeight="1" s="35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 ht="14.25" customHeight="1" s="35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 ht="14.25" customHeight="1" s="35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 ht="14.25" customHeight="1" s="35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 ht="14.25" customHeight="1" s="35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 ht="14.25" customHeight="1" s="35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 ht="14.25" customHeight="1" s="35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 ht="14.25" customHeight="1" s="35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4.25" customHeight="1" s="35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 ht="14.25" customHeight="1" s="35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 ht="14.25" customHeight="1" s="35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 ht="14.25" customHeight="1" s="35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 ht="14.25" customHeight="1" s="35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 ht="14.25" customHeight="1" s="35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 ht="14.25" customHeight="1" s="35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 ht="14.25" customHeight="1" s="35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 ht="14.25" customHeight="1" s="35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4.25" customHeight="1" s="35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 ht="14.25" customHeight="1" s="35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 ht="14.25" customHeight="1" s="35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 ht="14.25" customHeight="1" s="35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 ht="14.25" customHeight="1" s="35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 ht="14.25" customHeight="1" s="35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 ht="14.25" customHeight="1" s="35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 ht="14.25" customHeight="1" s="35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 ht="14.25" customHeight="1" s="35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 ht="14.25" customHeight="1" s="35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 ht="14.25" customHeight="1" s="35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 ht="14.25" customHeight="1" s="35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4.25" customHeight="1" s="35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 ht="14.25" customHeight="1" s="35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 ht="14.25" customHeight="1" s="35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 ht="14.25" customHeight="1" s="35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 ht="14.25" customHeight="1" s="35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 ht="14.25" customHeight="1" s="35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 ht="14.25" customHeight="1" s="35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 ht="14.25" customHeight="1" s="3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 ht="14.25" customHeight="1" s="35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 ht="14.25" customHeight="1" s="35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 ht="14.25" customHeight="1" s="35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 ht="14.25" customHeight="1" s="35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4.25" customHeight="1" s="35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 ht="14.25" customHeight="1" s="35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 ht="14.25" customHeight="1" s="35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 ht="14.25" customHeight="1" s="35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 ht="14.25" customHeight="1" s="35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 ht="14.25" customHeight="1" s="35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 ht="14.25" customHeight="1" s="35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 ht="14.25" customHeight="1" s="35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 ht="14.25" customHeight="1" s="35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4.25" customHeight="1" s="35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 ht="14.25" customHeight="1" s="35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 ht="14.25" customHeight="1" s="35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 ht="14.25" customHeight="1" s="35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 ht="14.25" customHeight="1" s="35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 ht="14.25" customHeight="1" s="35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 ht="14.25" customHeight="1" s="35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 ht="14.25" customHeight="1" s="35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 ht="14.25" customHeight="1" s="35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 ht="14.25" customHeight="1" s="35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 ht="14.25" customHeight="1" s="35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 ht="14.25" customHeight="1" s="35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 ht="14.25" customHeight="1" s="35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 ht="14.25" customHeight="1" s="35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 ht="14.25" customHeight="1" s="35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 ht="14.25" customHeight="1" s="35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 ht="14.25" customHeight="1" s="35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 ht="14.25" customHeight="1" s="35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 ht="14.25" customHeight="1" s="35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 ht="14.25" customHeight="1" s="35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 ht="14.25" customHeight="1" s="35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 ht="14.25" customHeight="1" s="35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 ht="14.25" customHeight="1" s="35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 ht="14.25" customHeight="1" s="35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 ht="14.25" customHeight="1" s="35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 ht="14.25" customHeight="1" s="35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 ht="14.25" customHeight="1" s="35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4.25" customHeight="1" s="35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 ht="14.25" customHeight="1" s="35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 ht="14.25" customHeight="1" s="35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 ht="14.25" customHeight="1" s="35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 ht="14.25" customHeight="1" s="35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 ht="14.25" customHeight="1" s="35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 ht="14.25" customHeight="1" s="35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 ht="14.25" customHeight="1" s="35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 ht="14.25" customHeight="1" s="35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 ht="14.25" customHeight="1" s="35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 ht="14.25" customHeight="1" s="35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 ht="14.25" customHeight="1" s="35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 ht="14.25" customHeight="1" s="35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4.25" customHeight="1" s="35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 ht="14.25" customHeight="1" s="35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 ht="14.25" customHeight="1" s="35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 ht="14.25" customHeight="1" s="35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 ht="14.25" customHeight="1" s="35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 ht="14.25" customHeight="1" s="35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 ht="14.25" customHeight="1" s="35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 ht="14.25" customHeight="1" s="35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 ht="14.25" customHeight="1" s="35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 ht="14.25" customHeight="1" s="35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 ht="14.25" customHeight="1" s="35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 ht="14.25" customHeight="1" s="35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 ht="14.25" customHeight="1" s="35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4.25" customHeight="1" s="35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 ht="14.25" customHeight="1" s="35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 ht="14.25" customHeight="1" s="35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 ht="14.25" customHeight="1" s="35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 ht="14.25" customHeight="1" s="35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 ht="14.25" customHeight="1" s="35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 ht="14.25" customHeight="1" s="35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 ht="14.25" customHeight="1" s="35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 ht="14.25" customHeight="1" s="35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 ht="14.25" customHeight="1" s="35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 ht="14.25" customHeight="1" s="35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 ht="14.25" customHeight="1" s="35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 ht="14.25" customHeight="1" s="35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 ht="14.25" customHeight="1" s="35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 ht="14.25" customHeight="1" s="35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 ht="14.25" customHeight="1" s="35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 ht="14.25" customHeight="1" s="35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 ht="14.25" customHeight="1" s="35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 ht="14.25" customHeight="1" s="35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 ht="14.25" customHeight="1" s="35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 ht="14.25" customHeight="1" s="35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 ht="14.25" customHeight="1" s="35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 ht="14.25" customHeight="1" s="35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 ht="14.25" customHeight="1" s="35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 ht="14.25" customHeight="1" s="35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 ht="14.25" customHeight="1" s="35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 ht="14.25" customHeight="1" s="35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 ht="14.25" customHeight="1" s="35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 ht="14.25" customHeight="1" s="35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 ht="14.25" customHeight="1" s="35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 ht="14.25" customHeight="1" s="35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 ht="14.25" customHeight="1" s="35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 ht="14.25" customHeight="1" s="35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 ht="14.25" customHeight="1" s="35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 ht="14.25" customHeight="1" s="35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 ht="14.25" customHeight="1" s="35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 ht="14.25" customHeight="1" s="35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 ht="14.25" customHeight="1" s="35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 ht="14.25" customHeight="1" s="35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 ht="14.25" customHeight="1" s="35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 ht="14.25" customHeight="1" s="35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4.25" customHeight="1" s="35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 ht="14.25" customHeight="1" s="35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 ht="14.25" customHeight="1" s="35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 ht="14.25" customHeight="1" s="35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 ht="14.25" customHeight="1" s="35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 ht="14.25" customHeight="1" s="35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 ht="14.25" customHeight="1" s="35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 ht="14.25" customHeight="1" s="35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 ht="14.25" customHeight="1" s="35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 ht="14.25" customHeight="1" s="35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 ht="14.25" customHeight="1" s="35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 ht="14.25" customHeight="1" s="35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 ht="14.25" customHeight="1" s="35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 ht="14.25" customHeight="1" s="35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 ht="14.25" customHeight="1" s="35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 ht="14.25" customHeight="1" s="35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 ht="14.25" customHeight="1" s="35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 ht="14.25" customHeight="1" s="35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 ht="14.25" customHeight="1" s="35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 ht="14.25" customHeight="1" s="35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 ht="14.25" customHeight="1" s="35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 ht="14.25" customHeight="1" s="35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 ht="14.25" customHeight="1" s="35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 ht="14.25" customHeight="1" s="35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 ht="14.25" customHeight="1" s="35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 ht="14.25" customHeight="1" s="35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 ht="14.25" customHeight="1" s="35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 ht="14.25" customHeight="1" s="35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 ht="14.25" customHeight="1" s="35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 ht="14.25" customHeight="1" s="35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 ht="14.25" customHeight="1" s="35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 ht="14.25" customHeight="1" s="35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 ht="14.25" customHeight="1" s="35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 ht="14.25" customHeight="1" s="35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 ht="14.25" customHeight="1" s="35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 ht="14.25" customHeight="1" s="35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 ht="14.25" customHeight="1" s="35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 ht="14.25" customHeight="1" s="35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 ht="14.25" customHeight="1" s="35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 ht="14.25" customHeight="1" s="35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 ht="14.25" customHeight="1" s="35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 ht="14.25" customHeight="1" s="35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 ht="14.25" customHeight="1" s="35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 ht="14.25" customHeight="1" s="35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 ht="14.25" customHeight="1" s="35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 ht="14.25" customHeight="1" s="35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 ht="14.25" customHeight="1" s="35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 ht="14.25" customHeight="1" s="35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 ht="14.25" customHeight="1" s="35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 ht="14.25" customHeight="1" s="35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 ht="14.25" customHeight="1" s="35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 ht="14.25" customHeight="1" s="35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 ht="14.25" customHeight="1" s="35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 ht="14.25" customHeight="1" s="35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 ht="14.25" customHeight="1" s="35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 ht="14.25" customHeight="1" s="35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 ht="14.25" customHeight="1" s="35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 ht="14.25" customHeight="1" s="35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 ht="14.25" customHeight="1" s="35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 ht="14.25" customHeight="1" s="35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 ht="14.25" customHeight="1" s="35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 ht="14.25" customHeight="1" s="35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 ht="14.25" customHeight="1" s="35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 ht="14.25" customHeight="1" s="35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 ht="14.25" customHeight="1" s="35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 ht="14.25" customHeight="1" s="35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 ht="14.25" customHeight="1" s="35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 ht="14.25" customHeight="1" s="35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 ht="14.25" customHeight="1" s="35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 ht="14.25" customHeight="1" s="35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 ht="14.25" customHeight="1" s="35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 ht="14.25" customHeight="1" s="35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 ht="14.25" customHeight="1" s="35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 ht="14.25" customHeight="1" s="35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 ht="14.25" customHeight="1" s="35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 ht="14.25" customHeight="1" s="35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 ht="14.25" customHeight="1" s="35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 ht="14.25" customHeight="1" s="35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 ht="14.25" customHeight="1" s="35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 ht="14.25" customHeight="1" s="35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 ht="14.25" customHeight="1" s="35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 ht="14.25" customHeight="1" s="35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 ht="14.25" customHeight="1" s="35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 ht="14.25" customHeight="1" s="35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 ht="14.25" customHeight="1" s="35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 ht="14.25" customHeight="1" s="35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 ht="14.25" customHeight="1" s="35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 ht="14.25" customHeight="1" s="35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 ht="14.25" customHeight="1" s="35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 ht="14.25" customHeight="1" s="35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 ht="14.25" customHeight="1" s="35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 ht="14.25" customHeight="1" s="35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 ht="14.25" customHeight="1" s="35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 ht="14.25" customHeight="1" s="35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 ht="14.25" customHeight="1" s="35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 ht="14.25" customHeight="1" s="35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 ht="14.25" customHeight="1" s="35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 ht="14.25" customHeight="1" s="35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 ht="14.25" customHeight="1" s="35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 ht="14.25" customHeight="1" s="35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 ht="14.25" customHeight="1" s="35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 ht="14.25" customHeight="1" s="35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 ht="14.25" customHeight="1" s="35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 ht="14.25" customHeight="1" s="35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 ht="14.25" customHeight="1" s="35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 ht="14.25" customHeight="1" s="35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 ht="14.25" customHeight="1" s="35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 ht="14.25" customHeight="1" s="35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 ht="14.25" customHeight="1" s="35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 ht="14.25" customHeight="1" s="35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 ht="14.25" customHeight="1" s="35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 ht="14.25" customHeight="1" s="35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 ht="14.25" customHeight="1" s="35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 ht="14.25" customHeight="1" s="35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 ht="14.25" customHeight="1" s="35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 ht="14.25" customHeight="1" s="35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 ht="14.25" customHeight="1" s="35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 ht="14.25" customHeight="1" s="35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 ht="14.25" customHeight="1" s="35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 ht="14.25" customHeight="1" s="35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 ht="14.25" customHeight="1" s="35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 ht="14.25" customHeight="1" s="35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 ht="14.25" customHeight="1" s="35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 ht="14.25" customHeight="1" s="35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 ht="14.25" customHeight="1" s="35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 ht="14.25" customHeight="1" s="35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 ht="14.25" customHeight="1" s="35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 ht="14.25" customHeight="1" s="35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 ht="14.25" customHeight="1" s="35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 ht="14.25" customHeight="1" s="35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 ht="14.25" customHeight="1" s="35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 ht="14.25" customHeight="1" s="35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 ht="14.25" customHeight="1" s="35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 ht="14.25" customHeight="1" s="35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 ht="14.25" customHeight="1" s="35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 ht="14.25" customHeight="1" s="35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 ht="14.25" customHeight="1" s="35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 ht="14.25" customHeight="1" s="35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 ht="14.25" customHeight="1" s="35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 ht="14.25" customHeight="1" s="35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 ht="14.25" customHeight="1" s="35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 ht="14.25" customHeight="1" s="35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 ht="14.25" customHeight="1" s="35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 ht="14.25" customHeight="1" s="35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 ht="14.25" customHeight="1" s="35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 ht="14.25" customHeight="1" s="35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 ht="14.25" customHeight="1" s="35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 ht="14.25" customHeight="1" s="35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 ht="14.25" customHeight="1" s="35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 ht="14.25" customHeight="1" s="35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 ht="14.25" customHeight="1" s="35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 ht="14.25" customHeight="1" s="35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 ht="14.25" customHeight="1" s="35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 ht="14.25" customHeight="1" s="35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 ht="14.25" customHeight="1" s="35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 ht="14.25" customHeight="1" s="35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 ht="14.25" customHeight="1" s="35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 ht="14.25" customHeight="1" s="35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 ht="14.25" customHeight="1" s="35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 ht="14.25" customHeight="1" s="35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 ht="14.25" customHeight="1" s="35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 ht="14.25" customHeight="1" s="35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 ht="14.25" customHeight="1" s="35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 ht="14.25" customHeight="1" s="35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 ht="14.25" customHeight="1" s="35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 ht="14.25" customHeight="1" s="35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 ht="14.25" customHeight="1" s="35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 ht="14.25" customHeight="1" s="35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 ht="14.25" customHeight="1" s="35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 ht="14.25" customHeight="1" s="35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 ht="14.25" customHeight="1" s="35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 ht="14.25" customHeight="1" s="35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 ht="14.25" customHeight="1" s="35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 ht="14.25" customHeight="1" s="35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 ht="14.25" customHeight="1" s="35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 ht="14.25" customHeight="1" s="35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 ht="14.25" customHeight="1" s="35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 ht="14.25" customHeight="1" s="35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 ht="14.25" customHeight="1" s="35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 ht="14.25" customHeight="1" s="35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 ht="14.25" customHeight="1" s="35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 ht="14.25" customHeight="1" s="35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 ht="14.25" customHeight="1" s="35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 ht="14.25" customHeight="1" s="35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 ht="14.25" customHeight="1" s="35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 ht="14.25" customHeight="1" s="35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 ht="14.25" customHeight="1" s="35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 ht="14.25" customHeight="1" s="35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 ht="14.25" customHeight="1" s="35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 ht="14.25" customHeight="1" s="35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 ht="14.25" customHeight="1" s="35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 ht="14.25" customHeight="1" s="35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 ht="14.25" customHeight="1" s="35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 ht="14.25" customHeight="1" s="35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 ht="14.25" customHeight="1" s="35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 ht="14.25" customHeight="1" s="35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 ht="14.25" customHeight="1" s="35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 ht="14.25" customHeight="1" s="35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 ht="14.25" customHeight="1" s="35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 ht="14.25" customHeight="1" s="35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 ht="14.25" customHeight="1" s="35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 ht="14.25" customHeight="1" s="35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 ht="14.25" customHeight="1" s="3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 ht="14.25" customHeight="1" s="35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 ht="14.25" customHeight="1" s="35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 ht="14.25" customHeight="1" s="35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 ht="14.25" customHeight="1" s="35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 ht="14.25" customHeight="1" s="35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 ht="14.25" customHeight="1" s="35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 ht="14.25" customHeight="1" s="35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 ht="14.25" customHeight="1" s="35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 ht="14.25" customHeight="1" s="35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 ht="14.25" customHeight="1" s="3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 ht="14.25" customHeight="1" s="35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 ht="14.25" customHeight="1" s="35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 ht="14.25" customHeight="1" s="35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 ht="14.25" customHeight="1" s="35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 ht="14.25" customHeight="1" s="35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 ht="14.25" customHeight="1" s="35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 ht="14.25" customHeight="1" s="35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 ht="14.25" customHeight="1" s="35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 ht="14.25" customHeight="1" s="35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 ht="14.25" customHeight="1" s="3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 ht="14.25" customHeight="1" s="35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 ht="14.25" customHeight="1" s="35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 ht="14.25" customHeight="1" s="35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 ht="14.25" customHeight="1" s="35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 ht="14.25" customHeight="1" s="35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 ht="14.25" customHeight="1" s="35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 ht="14.25" customHeight="1" s="35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 ht="14.25" customHeight="1" s="35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 ht="14.25" customHeight="1" s="35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 ht="14.25" customHeight="1" s="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 ht="14.25" customHeight="1" s="35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 ht="14.25" customHeight="1" s="35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 ht="14.25" customHeight="1" s="35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 ht="14.25" customHeight="1" s="35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 ht="14.25" customHeight="1" s="35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 ht="14.25" customHeight="1" s="35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 ht="14.25" customHeight="1" s="35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 ht="14.25" customHeight="1" s="35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 ht="14.25" customHeight="1" s="35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 ht="14.25" customHeight="1" s="3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 ht="14.25" customHeight="1" s="35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 ht="14.25" customHeight="1" s="35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 ht="14.25" customHeight="1" s="35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 ht="14.25" customHeight="1" s="35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 ht="14.25" customHeight="1" s="35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 ht="14.25" customHeight="1" s="35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 ht="14.25" customHeight="1" s="35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 ht="14.25" customHeight="1" s="35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 ht="14.25" customHeight="1" s="35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 ht="14.25" customHeight="1" s="3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 ht="14.25" customHeight="1" s="35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 ht="14.25" customHeight="1" s="35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 ht="14.25" customHeight="1" s="35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 ht="14.25" customHeight="1" s="35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 ht="14.25" customHeight="1" s="35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 ht="14.25" customHeight="1" s="35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 ht="14.25" customHeight="1" s="35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 ht="14.25" customHeight="1" s="35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 ht="14.25" customHeight="1" s="35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 ht="14.25" customHeight="1" s="3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4.25" customHeight="1" s="35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4.25" customHeight="1" s="35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4.25" customHeight="1" s="35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4.25" customHeight="1" s="35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4.25" customHeight="1" s="35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4.25" customHeight="1" s="35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4.25" customHeight="1" s="35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4.25" customHeight="1" s="35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4.25" customHeight="1" s="35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4.25" customHeight="1" s="3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4.25" customHeight="1" s="35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4.25" customHeight="1" s="35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4.25" customHeight="1" s="35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4.25" customHeight="1" s="35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4.25" customHeight="1" s="35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4.25" customHeight="1" s="35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4.25" customHeight="1" s="35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4.25" customHeight="1" s="35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4.25" customHeight="1" s="35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4.25" customHeight="1" s="3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4.25" customHeight="1" s="35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4.25" customHeight="1" s="35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4.25" customHeight="1" s="35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4.25" customHeight="1" s="35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4.25" customHeight="1" s="35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4.25" customHeight="1" s="35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4.25" customHeight="1" s="35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4.25" customHeight="1" s="35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4.25" customHeight="1" s="35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4.25" customHeight="1" s="3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4.25" customHeight="1" s="35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4.25" customHeight="1" s="35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4.25" customHeight="1" s="35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4.25" customHeight="1" s="35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4.25" customHeight="1" s="35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4.25" customHeight="1" s="35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4.25" customHeight="1" s="35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4.25" customHeight="1" s="35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4.25" customHeight="1" s="35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4.25" customHeight="1" s="3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4.25" customHeight="1" s="35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4.25" customHeight="1" s="35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4.25" customHeight="1" s="35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4.25" customHeight="1" s="35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4.25" customHeight="1" s="35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4.25" customHeight="1" s="35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4.25" customHeight="1" s="35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4.25" customHeight="1" s="35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4.25" customHeight="1" s="35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4.25" customHeight="1" s="3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4.25" customHeight="1" s="35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4.25" customHeight="1" s="35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4.25" customHeight="1" s="35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4.25" customHeight="1" s="35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4.25" customHeight="1" s="35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4.25" customHeight="1" s="35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4.25" customHeight="1" s="35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4.25" customHeight="1" s="35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4.25" customHeight="1" s="35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4.25" customHeight="1" s="3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4.25" customHeight="1" s="35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4.25" customHeight="1" s="35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4.25" customHeight="1" s="35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4.25" customHeight="1" s="35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4.25" customHeight="1" s="35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4.25" customHeight="1" s="35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4.25" customHeight="1" s="35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4.25" customHeight="1" s="35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4.25" customHeight="1" s="35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4.25" customHeight="1" s="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4.25" customHeight="1" s="35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4.25" customHeight="1" s="35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4.25" customHeight="1" s="35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4.25" customHeight="1" s="35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4.25" customHeight="1" s="35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4.25" customHeight="1" s="35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4.25" customHeight="1" s="35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4.25" customHeight="1" s="35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4.25" customHeight="1" s="35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4.25" customHeight="1" s="3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4.25" customHeight="1" s="35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4.25" customHeight="1" s="35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4.25" customHeight="1" s="35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4.25" customHeight="1" s="35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4.25" customHeight="1" s="35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4.25" customHeight="1" s="35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4.25" customHeight="1" s="35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4.25" customHeight="1" s="35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4.25" customHeight="1" s="35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4.25" customHeight="1" s="3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4.25" customHeight="1" s="35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4.25" customHeight="1" s="35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4.25" customHeight="1" s="35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4.25" customHeight="1" s="35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4.25" customHeight="1" s="35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4.25" customHeight="1" s="35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4.25" customHeight="1" s="35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4.25" customHeight="1" s="35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4.25" customHeight="1" s="35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4.25" customHeight="1" s="3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4.25" customHeight="1" s="35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4.25" customHeight="1" s="35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4.25" customHeight="1" s="35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4.25" customHeight="1" s="35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4.25" customHeight="1" s="35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4.25" customHeight="1" s="35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4.25" customHeight="1" s="35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4.25" customHeight="1" s="35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4.25" customHeight="1" s="35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4.25" customHeight="1" s="3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4.25" customHeight="1" s="35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4.25" customHeight="1" s="35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4.25" customHeight="1" s="35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4.25" customHeight="1" s="35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4.25" customHeight="1" s="35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4.25" customHeight="1" s="35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4.25" customHeight="1" s="35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4.25" customHeight="1" s="35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4.25" customHeight="1" s="35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4.25" customHeight="1" s="3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4.25" customHeight="1" s="35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4.25" customHeight="1" s="35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4.25" customHeight="1" s="35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4.25" customHeight="1" s="35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4.25" customHeight="1" s="35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4.25" customHeight="1" s="35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4.25" customHeight="1" s="35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4.25" customHeight="1" s="35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4.25" customHeight="1" s="35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4.25" customHeight="1" s="3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4.25" customHeight="1" s="35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4.25" customHeight="1" s="35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4.25" customHeight="1" s="35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4.25" customHeight="1" s="35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4.25" customHeight="1" s="35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4.25" customHeight="1" s="35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4.25" customHeight="1" s="35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4.25" customHeight="1" s="35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4.25" customHeight="1" s="35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4.25" customHeight="1" s="3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4.25" customHeight="1" s="35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4.25" customHeight="1" s="35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4.25" customHeight="1" s="35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4.25" customHeight="1" s="35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4.25" customHeight="1" s="35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4.25" customHeight="1" s="35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4.25" customHeight="1" s="35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4.25" customHeight="1" s="35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4.25" customHeight="1" s="35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4.25" customHeight="1" s="3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4.25" customHeight="1" s="35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4.25" customHeight="1" s="35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4.25" customHeight="1" s="35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4.25" customHeight="1" s="35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4.25" customHeight="1" s="35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4.25" customHeight="1" s="35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4.25" customHeight="1" s="35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4.25" customHeight="1" s="35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4.25" customHeight="1" s="35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4.25" customHeight="1" s="3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4.25" customHeight="1" s="35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4.25" customHeight="1" s="35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4.25" customHeight="1" s="35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4.25" customHeight="1" s="35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4.25" customHeight="1" s="35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4.25" customHeight="1" s="35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4.25" customHeight="1" s="35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4.25" customHeight="1" s="35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4.25" customHeight="1" s="35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4.25" customHeight="1" s="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4.25" customHeight="1" s="35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4.25" customHeight="1" s="35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4.25" customHeight="1" s="35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4.25" customHeight="1" s="35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4.25" customHeight="1" s="35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4.25" customHeight="1" s="35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4.25" customHeight="1" s="35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4.25" customHeight="1" s="35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4.25" customHeight="1" s="35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4.25" customHeight="1" s="3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4.25" customHeight="1" s="35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4.25" customHeight="1" s="35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4.25" customHeight="1" s="35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4.25" customHeight="1" s="35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4.25" customHeight="1" s="35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4.25" customHeight="1" s="35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4.25" customHeight="1" s="35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4.25" customHeight="1" s="35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4.25" customHeight="1" s="35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4.25" customHeight="1" s="3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4.25" customHeight="1" s="35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4.25" customHeight="1" s="35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4.25" customHeight="1" s="35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4.25" customHeight="1" s="35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4.25" customHeight="1" s="35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4.25" customHeight="1" s="35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4.25" customHeight="1" s="35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4.25" customHeight="1" s="35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4.25" customHeight="1" s="35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4.25" customHeight="1" s="3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4.25" customHeight="1" s="35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4.25" customHeight="1" s="35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4.25" customHeight="1" s="35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4.25" customHeight="1" s="35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4.25" customHeight="1" s="35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4.25" customHeight="1" s="35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4.25" customHeight="1" s="35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4.25" customHeight="1" s="35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4.25" customHeight="1" s="35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4.25" customHeight="1" s="3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4.25" customHeight="1" s="35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4.25" customHeight="1" s="35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4.25" customHeight="1" s="35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4.25" customHeight="1" s="35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4.25" customHeight="1" s="35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4.25" customHeight="1" s="35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4.25" customHeight="1" s="35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4.25" customHeight="1" s="35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4.25" customHeight="1" s="35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4.25" customHeight="1" s="3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4.25" customHeight="1" s="35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4.25" customHeight="1" s="35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4.25" customHeight="1" s="35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4.25" customHeight="1" s="35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4.25" customHeight="1" s="35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4.25" customHeight="1" s="35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4.25" customHeight="1" s="35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4.25" customHeight="1" s="35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4.25" customHeight="1" s="35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4.25" customHeight="1" s="3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4.25" customHeight="1" s="35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4.25" customHeight="1" s="35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4.25" customHeight="1" s="35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4.25" customHeight="1" s="35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4.25" customHeight="1" s="35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4.25" customHeight="1" s="35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4.25" customHeight="1" s="35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4.25" customHeight="1" s="35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4.25" customHeight="1" s="35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4.25" customHeight="1" s="3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4.25" customHeight="1" s="35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4.25" customHeight="1" s="35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4.25" customHeight="1" s="35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4.25" customHeight="1" s="35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4.25" customHeight="1" s="35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4.25" customHeight="1" s="35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4.25" customHeight="1" s="35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4.25" customHeight="1" s="35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4.25" customHeight="1" s="35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4.25" customHeight="1" s="3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4.25" customHeight="1" s="35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4.25" customHeight="1" s="35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4.25" customHeight="1" s="35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4.25" customHeight="1" s="35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4.25" customHeight="1" s="35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4.25" customHeight="1" s="35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4.25" customHeight="1" s="35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4.25" customHeight="1" s="35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4.25" customHeight="1" s="35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4.25" customHeight="1" s="3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4.25" customHeight="1" s="35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4.25" customHeight="1" s="35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4.25" customHeight="1" s="35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4.25" customHeight="1" s="35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4.25" customHeight="1" s="35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4.25" customHeight="1" s="35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4.25" customHeight="1" s="35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4.25" customHeight="1" s="35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4.25" customHeight="1" s="35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4.25" customHeight="1" s="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4.25" customHeight="1" s="35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4.25" customHeight="1" s="35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4.25" customHeight="1" s="35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4.25" customHeight="1" s="35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4.25" customHeight="1" s="35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4.25" customHeight="1" s="35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4.25" customHeight="1" s="35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4.25" customHeight="1" s="35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4.25" customHeight="1" s="35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4.25" customHeight="1" s="3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4.25" customHeight="1" s="35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4.25" customHeight="1" s="35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4.25" customHeight="1" s="35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4.25" customHeight="1" s="35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4.25" customHeight="1" s="35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4.25" customHeight="1" s="35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4.25" customHeight="1" s="35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4.25" customHeight="1" s="35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4.25" customHeight="1" s="35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4.25" customHeight="1" s="3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4.25" customHeight="1" s="35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4.25" customHeight="1" s="35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4.25" customHeight="1" s="35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4.25" customHeight="1" s="35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4.25" customHeight="1" s="35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4.25" customHeight="1" s="35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4.25" customHeight="1" s="35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4.25" customHeight="1" s="35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4.25" customHeight="1" s="35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4.25" customHeight="1" s="3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4.25" customHeight="1" s="35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4.25" customHeight="1" s="35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4.25" customHeight="1" s="35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4.25" customHeight="1" s="35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4.25" customHeight="1" s="35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4.25" customHeight="1" s="35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4.25" customHeight="1" s="35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4.25" customHeight="1" s="35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4.25" customHeight="1" s="35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4.25" customHeight="1" s="3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4.25" customHeight="1" s="35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4.25" customHeight="1" s="35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4.25" customHeight="1" s="35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4.25" customHeight="1" s="35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4.25" customHeight="1" s="35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4.25" customHeight="1" s="35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4.25" customHeight="1" s="35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4.25" customHeight="1" s="35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4.25" customHeight="1" s="35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4.25" customHeight="1" s="3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4.25" customHeight="1" s="35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4.25" customHeight="1" s="35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4.25" customHeight="1" s="35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4.25" customHeight="1" s="35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4.25" customHeight="1" s="35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4.25" customHeight="1" s="35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4.25" customHeight="1" s="35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4.25" customHeight="1" s="35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4.25" customHeight="1" s="35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4.25" customHeight="1" s="3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4.25" customHeight="1" s="35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4.25" customHeight="1" s="35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4.25" customHeight="1" s="35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4.25" customHeight="1" s="35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4.25" customHeight="1" s="35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4.25" customHeight="1" s="35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4.25" customHeight="1" s="35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4.25" customHeight="1" s="35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4.25" customHeight="1" s="35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4.25" customHeight="1" s="3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4.25" customHeight="1" s="35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4.25" customHeight="1" s="35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4.25" customHeight="1" s="35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4.25" customHeight="1" s="35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4.25" customHeight="1" s="35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4.25" customHeight="1" s="35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4.25" customHeight="1" s="35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4.25" customHeight="1" s="35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4.25" customHeight="1" s="35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4.25" customHeight="1" s="3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4.25" customHeight="1" s="35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4.25" customHeight="1" s="35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4.25" customHeight="1" s="35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4.25" customHeight="1" s="35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4.25" customHeight="1" s="35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4.25" customHeight="1" s="35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4.25" customHeight="1" s="35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4.25" customHeight="1" s="35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4.25" customHeight="1" s="35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4.25" customHeight="1" s="3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4.25" customHeight="1" s="35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4.25" customHeight="1" s="35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4.25" customHeight="1" s="35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4.25" customHeight="1" s="35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4.25" customHeight="1" s="35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4.25" customHeight="1" s="35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4.25" customHeight="1" s="35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4.25" customHeight="1" s="35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4.25" customHeight="1" s="35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4.25" customHeight="1" s="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4.25" customHeight="1" s="35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4.25" customHeight="1" s="35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4.25" customHeight="1" s="35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4.25" customHeight="1" s="35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4.25" customHeight="1" s="35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4.25" customHeight="1" s="35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4.25" customHeight="1" s="35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4.25" customHeight="1" s="35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4.25" customHeight="1" s="35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4.25" customHeight="1" s="3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4.25" customHeight="1" s="35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4.25" customHeight="1" s="35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4.25" customHeight="1" s="35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4.25" customHeight="1" s="35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4.25" customHeight="1" s="35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4.25" customHeight="1" s="35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4.25" customHeight="1" s="35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4.25" customHeight="1" s="35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4.25" customHeight="1" s="35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4.25" customHeight="1" s="3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4.25" customHeight="1" s="35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4.25" customHeight="1" s="35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4.25" customHeight="1" s="35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4.25" customHeight="1" s="35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4.25" customHeight="1" s="35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4.25" customHeight="1" s="35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4.25" customHeight="1" s="35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4.25" customHeight="1" s="35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4.25" customHeight="1" s="35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4.25" customHeight="1" s="3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4.25" customHeight="1" s="35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4.25" customHeight="1" s="35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4.25" customHeight="1" s="35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4.25" customHeight="1" s="35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4.25" customHeight="1" s="35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4.25" customHeight="1" s="35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4.25" customHeight="1" s="35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4.25" customHeight="1" s="35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4.25" customHeight="1" s="35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4.25" customHeight="1" s="3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4.25" customHeight="1" s="35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4.25" customHeight="1" s="35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4.25" customHeight="1" s="35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4.25" customHeight="1" s="35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4.25" customHeight="1" s="35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4.25" customHeight="1" s="35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4.25" customHeight="1" s="35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4.25" customHeight="1" s="35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4.25" customHeight="1" s="35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4.25" customHeight="1" s="3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4.25" customHeight="1" s="35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4.25" customHeight="1" s="35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4.25" customHeight="1" s="35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4.25" customHeight="1" s="35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4.25" customHeight="1" s="35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4.25" customHeight="1" s="35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4.25" customHeight="1" s="35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4.25" customHeight="1" s="35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4.25" customHeight="1" s="35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4.25" customHeight="1" s="3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4.25" customHeight="1" s="35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4.25" customHeight="1" s="35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4.25" customHeight="1" s="35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4.25" customHeight="1" s="35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4.25" customHeight="1" s="35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4.25" customHeight="1" s="35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4.25" customHeight="1" s="35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4.25" customHeight="1" s="35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4.25" customHeight="1" s="35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4.25" customHeight="1" s="3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4.25" customHeight="1" s="35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4.25" customHeight="1" s="35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4.25" customHeight="1" s="35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4.25" customHeight="1" s="35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4.25" customHeight="1" s="35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4.25" customHeight="1" s="35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4.25" customHeight="1" s="35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4.25" customHeight="1" s="35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4.25" customHeight="1" s="35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4.25" customHeight="1" s="3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4.25" customHeight="1" s="35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4.25" customHeight="1" s="35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4.25" customHeight="1" s="35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4.25" customHeight="1" s="35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4.25" customHeight="1" s="35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4.25" customHeight="1" s="35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4.25" customHeight="1" s="35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4.25" customHeight="1" s="35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4.25" customHeight="1" s="35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4.25" customHeight="1" s="3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4.25" customHeight="1" s="35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4.25" customHeight="1" s="35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4.25" customHeight="1" s="35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4.25" customHeight="1" s="35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4.25" customHeight="1" s="35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4.25" customHeight="1" s="35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4.25" customHeight="1" s="35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4.25" customHeight="1" s="35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4.25" customHeight="1" s="35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4.25" customHeight="1" s="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4.25" customHeight="1" s="35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4.25" customHeight="1" s="35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4.25" customHeight="1" s="35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4.25" customHeight="1" s="35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4.25" customHeight="1" s="35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4.25" customHeight="1" s="35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4.25" customHeight="1" s="35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4.25" customHeight="1" s="35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4.25" customHeight="1" s="35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4.25" customHeight="1" s="3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4.25" customHeight="1" s="35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4.25" customHeight="1" s="35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4.25" customHeight="1" s="35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4.25" customHeight="1" s="35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4.25" customHeight="1" s="35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4.25" customHeight="1" s="35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4.25" customHeight="1" s="35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4.25" customHeight="1" s="35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4.25" customHeight="1" s="35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4.25" customHeight="1" s="3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4.25" customHeight="1" s="35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4.25" customHeight="1" s="35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4.25" customHeight="1" s="35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4.25" customHeight="1" s="35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4.25" customHeight="1" s="35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4.25" customHeight="1" s="35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4.25" customHeight="1" s="35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4.25" customHeight="1" s="35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4.25" customHeight="1" s="35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4.25" customHeight="1" s="35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4.25" customHeight="1" s="35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4.25" customHeight="1" s="35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4.25" customHeight="1" s="35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4.25" customHeight="1" s="35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4.25" customHeight="1" s="35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4.25" customHeight="1" s="35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4.25" customHeight="1" s="35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4.25" customHeight="1" s="35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4.25" customHeight="1" s="35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4.25" customHeight="1" s="35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4.25" customHeight="1" s="35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4.25" customHeight="1" s="35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4.25" customHeight="1" s="35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4.25" customHeight="1" s="35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4.25" customHeight="1" s="35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4.25" customHeight="1" s="35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4.25" customHeight="1" s="35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4.25" customHeight="1" s="35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4.25" customHeight="1" s="35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4.25" customHeight="1" s="35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4.25" customHeight="1" s="35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4.25" customHeight="1" s="35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4.25" customHeight="1" s="35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  <row r="989" ht="14.25" customHeight="1" s="35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</row>
    <row r="990" ht="14.25" customHeight="1" s="35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</row>
    <row r="991" ht="14.25" customHeight="1" s="35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</row>
    <row r="992" ht="14.25" customHeight="1" s="35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</row>
    <row r="993" ht="14.25" customHeight="1" s="35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</row>
    <row r="994" ht="14.25" customHeight="1" s="35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</row>
    <row r="995" ht="14.25" customHeight="1" s="35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</row>
    <row r="996" ht="14.25" customHeight="1" s="35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</row>
    <row r="997" ht="14.25" customHeight="1" s="35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</row>
    <row r="998" ht="14.25" customHeight="1" s="35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</row>
    <row r="999" ht="14.25" customHeight="1" s="35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</row>
    <row r="1000" ht="14.25" customHeight="1" s="35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8" customWidth="1" style="35" min="1" max="1"/>
    <col width="18" customWidth="1" style="35" min="2" max="2"/>
    <col width="40" customWidth="1" style="35" min="3" max="3"/>
    <col width="52" customWidth="1" style="35" min="4" max="4"/>
    <col width="15" customWidth="1" style="35" min="5" max="5"/>
    <col width="11" customWidth="1" style="35" min="6" max="7"/>
    <col width="13" customWidth="1" style="35" min="8" max="9"/>
    <col width="14" customWidth="1" style="35" min="10" max="10"/>
    <col width="40" customWidth="1" style="35" min="11" max="11"/>
    <col width="8.710000000000001" customWidth="1" style="35" min="12" max="26"/>
  </cols>
  <sheetData>
    <row r="1" ht="14.25" customHeight="1" s="35">
      <c r="A1" s="2" t="inlineStr">
        <is>
          <t>Official register / portal pages - start your search here; later these feed the Daily Watcher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</row>
    <row r="2" ht="14.25" customHeight="1" s="35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</row>
    <row r="3" ht="14.25" customHeight="1" s="35">
      <c r="A3" s="7" t="inlineStr">
        <is>
          <t>Feed ID</t>
        </is>
      </c>
      <c r="B3" s="7" t="inlineStr">
        <is>
          <t>Authority</t>
        </is>
      </c>
      <c r="C3" s="7" t="inlineStr">
        <is>
          <t>Page</t>
        </is>
      </c>
      <c r="D3" s="7" t="inlineStr">
        <is>
          <t>URL</t>
        </is>
      </c>
      <c r="E3" s="7" t="inlineStr">
        <is>
          <t>Feed Type</t>
        </is>
      </c>
      <c r="F3" s="7" t="inlineStr">
        <is>
          <t>Check Every (months)</t>
        </is>
      </c>
      <c r="G3" s="7" t="inlineStr">
        <is>
          <t>Assigned To</t>
        </is>
      </c>
      <c r="H3" s="7" t="inlineStr">
        <is>
          <t>Last Checked</t>
        </is>
      </c>
      <c r="I3" s="7" t="inlineStr">
        <is>
          <t>New Documents Found?</t>
        </is>
      </c>
      <c r="J3" s="8" t="inlineStr">
        <is>
          <t>Rows in Register (this authority)</t>
        </is>
      </c>
      <c r="K3" s="7" t="inlineStr">
        <is>
          <t>Notes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</row>
    <row r="4" ht="14.25" customHeight="1" s="35">
      <c r="A4" s="21" t="inlineStr">
        <is>
          <t>F-01</t>
        </is>
      </c>
      <c r="B4" s="21" t="inlineStr">
        <is>
          <t>UGC</t>
        </is>
      </c>
      <c r="C4" s="21" t="inlineStr">
        <is>
          <t>UGC Regulations register</t>
        </is>
      </c>
      <c r="D4" s="14" t="inlineStr">
        <is>
          <t>https://www.ugc.gov.in/Regulations</t>
        </is>
      </c>
      <c r="E4" s="21" t="inlineStr">
        <is>
          <t>document_index</t>
        </is>
      </c>
      <c r="F4" s="21" t="n">
        <v>1</v>
      </c>
      <c r="G4" s="21" t="inlineStr">
        <is>
          <t>Intern A</t>
        </is>
      </c>
      <c r="H4" s="18" t="n"/>
      <c r="I4" s="17" t="n"/>
      <c r="J4" s="34">
        <f>COUNTIF('Source Register'!$D$5:$D$400,B4)</f>
        <v/>
      </c>
      <c r="K4" s="17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</row>
    <row r="5" ht="14.25" customHeight="1" s="35">
      <c r="A5" s="21" t="inlineStr">
        <is>
          <t>F-02</t>
        </is>
      </c>
      <c r="B5" s="21" t="inlineStr">
        <is>
          <t>UGC</t>
        </is>
      </c>
      <c r="C5" s="21" t="inlineStr">
        <is>
          <t>UGC Guidelines register</t>
        </is>
      </c>
      <c r="D5" s="14" t="inlineStr">
        <is>
          <t>https://www.ugc.gov.in/Guideline</t>
        </is>
      </c>
      <c r="E5" s="21" t="inlineStr">
        <is>
          <t>document_index</t>
        </is>
      </c>
      <c r="F5" s="21" t="n">
        <v>1</v>
      </c>
      <c r="G5" s="21" t="inlineStr">
        <is>
          <t>Intern A</t>
        </is>
      </c>
      <c r="H5" s="18" t="n"/>
      <c r="I5" s="17" t="n"/>
      <c r="J5" s="34">
        <f>COUNTIF('Source Register'!$D$5:$D$400,B5)</f>
        <v/>
      </c>
      <c r="K5" s="17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</row>
    <row r="6" ht="14.25" customHeight="1" s="35">
      <c r="A6" s="21" t="inlineStr">
        <is>
          <t>F-03</t>
        </is>
      </c>
      <c r="B6" s="21" t="inlineStr">
        <is>
          <t>NAAC</t>
        </is>
      </c>
      <c r="C6" s="21" t="inlineStr">
        <is>
          <t>NAAC assessment portal (SSR / QIF / templates)</t>
        </is>
      </c>
      <c r="D6" s="14" t="inlineStr">
        <is>
          <t>https://assessmentonline.naac.gov.in/</t>
        </is>
      </c>
      <c r="E6" s="21" t="inlineStr">
        <is>
          <t>document_index</t>
        </is>
      </c>
      <c r="F6" s="21" t="n">
        <v>1</v>
      </c>
      <c r="G6" s="21" t="inlineStr">
        <is>
          <t>Intern A</t>
        </is>
      </c>
      <c r="H6" s="18" t="n"/>
      <c r="I6" s="17" t="n"/>
      <c r="J6" s="34">
        <f>COUNTIF('Source Register'!$D$5:$D$400,B6)</f>
        <v/>
      </c>
      <c r="K6" s="17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4.25" customHeight="1" s="35">
      <c r="A7" s="21" t="inlineStr">
        <is>
          <t>F-04</t>
        </is>
      </c>
      <c r="B7" s="21" t="inlineStr">
        <is>
          <t>NBA</t>
        </is>
      </c>
      <c r="C7" s="21" t="inlineStr">
        <is>
          <t>NBA Accreditation Documents</t>
        </is>
      </c>
      <c r="D7" s="14" t="inlineStr">
        <is>
          <t>https://www.nbaind.org/Downloads/Documents</t>
        </is>
      </c>
      <c r="E7" s="21" t="inlineStr">
        <is>
          <t>document_index</t>
        </is>
      </c>
      <c r="F7" s="21" t="n">
        <v>3</v>
      </c>
      <c r="G7" s="21" t="inlineStr">
        <is>
          <t>Intern A</t>
        </is>
      </c>
      <c r="H7" s="18" t="n"/>
      <c r="I7" s="17" t="n"/>
      <c r="J7" s="34">
        <f>COUNTIF('Source Register'!$D$5:$D$400,B7)</f>
        <v/>
      </c>
      <c r="K7" s="17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 ht="14.25" customHeight="1" s="35">
      <c r="A8" s="21" t="inlineStr">
        <is>
          <t>F-05</t>
        </is>
      </c>
      <c r="B8" s="21" t="inlineStr">
        <is>
          <t>NIRF</t>
        </is>
      </c>
      <c r="C8" s="21" t="inlineStr">
        <is>
          <t>NIRF Documents and methodology</t>
        </is>
      </c>
      <c r="D8" s="14" t="inlineStr">
        <is>
          <t>https://www.nirfindia.org/Home/Documents</t>
        </is>
      </c>
      <c r="E8" s="21" t="inlineStr">
        <is>
          <t>document_index</t>
        </is>
      </c>
      <c r="F8" s="21" t="n">
        <v>12</v>
      </c>
      <c r="G8" s="21" t="inlineStr">
        <is>
          <t>Intern A</t>
        </is>
      </c>
      <c r="H8" s="18" t="n"/>
      <c r="I8" s="17" t="n"/>
      <c r="J8" s="34">
        <f>COUNTIF('Source Register'!$D$5:$D$400,B8)</f>
        <v/>
      </c>
      <c r="K8" s="17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</row>
    <row r="9" ht="14.25" customHeight="1" s="35">
      <c r="A9" s="21" t="inlineStr">
        <is>
          <t>F-06</t>
        </is>
      </c>
      <c r="B9" s="21" t="inlineStr">
        <is>
          <t>Ministry of Education</t>
        </is>
      </c>
      <c r="C9" s="21" t="inlineStr">
        <is>
          <t>Ministry of Education documents</t>
        </is>
      </c>
      <c r="D9" s="14" t="inlineStr">
        <is>
          <t>https://www.education.gov.in/</t>
        </is>
      </c>
      <c r="E9" s="21" t="inlineStr">
        <is>
          <t>web_page</t>
        </is>
      </c>
      <c r="F9" s="21" t="n">
        <v>12</v>
      </c>
      <c r="G9" s="21" t="inlineStr">
        <is>
          <t>Intern A</t>
        </is>
      </c>
      <c r="H9" s="18" t="n"/>
      <c r="I9" s="17" t="n"/>
      <c r="J9" s="34">
        <f>COUNTIF('Source Register'!$D$5:$D$400,B9)</f>
        <v/>
      </c>
      <c r="K9" s="17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4.25" customHeight="1" s="35">
      <c r="A10" s="21" t="inlineStr">
        <is>
          <t>F-07</t>
        </is>
      </c>
      <c r="B10" s="21" t="inlineStr">
        <is>
          <t>AICTE</t>
        </is>
      </c>
      <c r="C10" s="21" t="inlineStr">
        <is>
          <t>AICTE model curriculum</t>
        </is>
      </c>
      <c r="D10" s="14" t="inlineStr">
        <is>
          <t>https://www.aicte-india.org/education/model-curriculum</t>
        </is>
      </c>
      <c r="E10" s="21" t="inlineStr">
        <is>
          <t>document_index</t>
        </is>
      </c>
      <c r="F10" s="21" t="n">
        <v>12</v>
      </c>
      <c r="G10" s="21" t="inlineStr">
        <is>
          <t>Intern B</t>
        </is>
      </c>
      <c r="H10" s="18" t="n"/>
      <c r="I10" s="17" t="n"/>
      <c r="J10" s="34">
        <f>COUNTIF('Source Register'!$D$5:$D$400,B10)</f>
        <v/>
      </c>
      <c r="K10" s="17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 ht="14.25" customHeight="1" s="35">
      <c r="A11" s="21" t="inlineStr">
        <is>
          <t>F-08</t>
        </is>
      </c>
      <c r="B11" s="21" t="inlineStr">
        <is>
          <t>DGT</t>
        </is>
      </c>
      <c r="C11" s="21" t="inlineStr">
        <is>
          <t>DGT ITI grading guidelines</t>
        </is>
      </c>
      <c r="D11" s="14" t="inlineStr">
        <is>
          <t>https://dgt.gov.in/en/guidelines-grading</t>
        </is>
      </c>
      <c r="E11" s="21" t="inlineStr">
        <is>
          <t>document_index</t>
        </is>
      </c>
      <c r="F11" s="21" t="n">
        <v>12</v>
      </c>
      <c r="G11" s="21" t="inlineStr">
        <is>
          <t>Intern B</t>
        </is>
      </c>
      <c r="H11" s="18" t="n"/>
      <c r="I11" s="17" t="n"/>
      <c r="J11" s="34">
        <f>COUNTIF('Source Register'!$D$5:$D$400,B11)</f>
        <v/>
      </c>
      <c r="K11" s="17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 ht="14.25" customHeight="1" s="35">
      <c r="A12" s="21" t="inlineStr">
        <is>
          <t>F-09</t>
        </is>
      </c>
      <c r="B12" s="21" t="inlineStr">
        <is>
          <t>NCVET</t>
        </is>
      </c>
      <c r="C12" s="21" t="inlineStr">
        <is>
          <t>NCVET portal</t>
        </is>
      </c>
      <c r="D12" s="14" t="inlineStr">
        <is>
          <t>https://ncvet.gov.in/</t>
        </is>
      </c>
      <c r="E12" s="21" t="inlineStr">
        <is>
          <t>web_page</t>
        </is>
      </c>
      <c r="F12" s="21" t="n">
        <v>3</v>
      </c>
      <c r="G12" s="21" t="inlineStr">
        <is>
          <t>Intern B</t>
        </is>
      </c>
      <c r="H12" s="18" t="n"/>
      <c r="I12" s="17" t="n"/>
      <c r="J12" s="34">
        <f>COUNTIF('Source Register'!$D$5:$D$400,B12)</f>
        <v/>
      </c>
      <c r="K12" s="17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4.25" customHeight="1" s="35">
      <c r="A13" s="21" t="inlineStr">
        <is>
          <t>F-10</t>
        </is>
      </c>
      <c r="B13" s="21" t="inlineStr">
        <is>
          <t>Academic Bank of Credits</t>
        </is>
      </c>
      <c r="C13" s="21" t="inlineStr">
        <is>
          <t>Academic Bank of Credits portal</t>
        </is>
      </c>
      <c r="D13" s="14" t="inlineStr">
        <is>
          <t>https://www.abc.gov.in/</t>
        </is>
      </c>
      <c r="E13" s="21" t="inlineStr">
        <is>
          <t>web_page</t>
        </is>
      </c>
      <c r="F13" s="21" t="n">
        <v>3</v>
      </c>
      <c r="G13" s="21" t="inlineStr">
        <is>
          <t>Intern B</t>
        </is>
      </c>
      <c r="H13" s="18" t="n"/>
      <c r="I13" s="17" t="n"/>
      <c r="J13" s="34">
        <f>COUNTIF('Source Register'!$D$5:$D$400,B13)</f>
        <v/>
      </c>
      <c r="K13" s="17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 ht="14.25" customHeight="1" s="35">
      <c r="A14" s="21" t="inlineStr">
        <is>
          <t>F-11</t>
        </is>
      </c>
      <c r="B14" s="21" t="inlineStr">
        <is>
          <t>MeitY</t>
        </is>
      </c>
      <c r="C14" s="21" t="inlineStr">
        <is>
          <t>DPDP Rules 2025 page</t>
        </is>
      </c>
      <c r="D14" s="14" t="inlineStr">
        <is>
          <t>https://www.meity.gov.in/documents/act-and-policies/digital-personal-data-protection-rules-2025-gDOxUjMtQWa?pageTitle=Digital-Personal-Data-Protection-Rules-2025</t>
        </is>
      </c>
      <c r="E14" s="21" t="inlineStr">
        <is>
          <t>web_page</t>
        </is>
      </c>
      <c r="F14" s="21" t="n">
        <v>1</v>
      </c>
      <c r="G14" s="21" t="inlineStr">
        <is>
          <t>Intern B</t>
        </is>
      </c>
      <c r="H14" s="18" t="n"/>
      <c r="I14" s="17" t="n"/>
      <c r="J14" s="34">
        <f>COUNTIF('Source Register'!$D$5:$D$400,B14)</f>
        <v/>
      </c>
      <c r="K14" s="17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 ht="14.25" customHeight="1" s="35">
      <c r="A15" s="21" t="inlineStr">
        <is>
          <t>F-12</t>
        </is>
      </c>
      <c r="B15" s="21" t="inlineStr">
        <is>
          <t>CERT-In</t>
        </is>
      </c>
      <c r="C15" s="21" t="inlineStr">
        <is>
          <t>CERT-In Directions 70B page</t>
        </is>
      </c>
      <c r="D15" s="14" t="inlineStr">
        <is>
          <t>https://www.cert-in.org.in/Directions70B.jsp</t>
        </is>
      </c>
      <c r="E15" s="21" t="inlineStr">
        <is>
          <t>web_page</t>
        </is>
      </c>
      <c r="F15" s="21" t="n">
        <v>1</v>
      </c>
      <c r="G15" s="21" t="inlineStr">
        <is>
          <t>Intern B</t>
        </is>
      </c>
      <c r="H15" s="18" t="n"/>
      <c r="I15" s="17" t="n"/>
      <c r="J15" s="34">
        <f>COUNTIF('Source Register'!$D$5:$D$400,B15)</f>
        <v/>
      </c>
      <c r="K15" s="17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4.25" customHeight="1" s="35">
      <c r="A16" s="21" t="inlineStr">
        <is>
          <t>F-13</t>
        </is>
      </c>
      <c r="B16" s="21" t="inlineStr">
        <is>
          <t>CERT-In</t>
        </is>
      </c>
      <c r="C16" s="21" t="inlineStr">
        <is>
          <t>CERT-In portal (advisories)</t>
        </is>
      </c>
      <c r="D16" s="14" t="inlineStr">
        <is>
          <t>https://www.cert-in.org.in/</t>
        </is>
      </c>
      <c r="E16" s="21" t="inlineStr">
        <is>
          <t>web_page</t>
        </is>
      </c>
      <c r="F16" s="21" t="n">
        <v>1</v>
      </c>
      <c r="G16" s="21" t="inlineStr">
        <is>
          <t>Intern B</t>
        </is>
      </c>
      <c r="H16" s="18" t="n"/>
      <c r="I16" s="17" t="n"/>
      <c r="J16" s="34">
        <f>COUNTIF('Source Register'!$D$5:$D$400,B16)</f>
        <v/>
      </c>
      <c r="K16" s="17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 ht="14.25" customHeight="1" s="35">
      <c r="A17" s="21" t="inlineStr">
        <is>
          <t>F-14</t>
        </is>
      </c>
      <c r="B17" s="21" t="inlineStr">
        <is>
          <t>MeitY/IndiaAI</t>
        </is>
      </c>
      <c r="C17" s="21" t="inlineStr">
        <is>
          <t>MeitY AI and Emerging Technologies division</t>
        </is>
      </c>
      <c r="D17" s="14" t="inlineStr">
        <is>
          <t>https://www.meity.gov.in/ministry/our-groups/details/ai-emerging-technologies-division-QN5EDOtQWa</t>
        </is>
      </c>
      <c r="E17" s="21" t="inlineStr">
        <is>
          <t>web_page</t>
        </is>
      </c>
      <c r="F17" s="21" t="n">
        <v>3</v>
      </c>
      <c r="G17" s="21" t="inlineStr">
        <is>
          <t>Intern B</t>
        </is>
      </c>
      <c r="H17" s="18" t="n"/>
      <c r="I17" s="17" t="n"/>
      <c r="J17" s="34">
        <f>COUNTIF('Source Register'!$D$5:$D$400,B17)</f>
        <v/>
      </c>
      <c r="K17" s="17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14.25" customHeight="1" s="35">
      <c r="A18" s="21" t="inlineStr">
        <is>
          <t>F-15</t>
        </is>
      </c>
      <c r="B18" s="21" t="inlineStr">
        <is>
          <t>NIST</t>
        </is>
      </c>
      <c r="C18" s="21" t="inlineStr">
        <is>
          <t>NIST AI RMF resources</t>
        </is>
      </c>
      <c r="D18" s="14" t="inlineStr">
        <is>
          <t>https://www.nist.gov/itl/ai-risk-management-framework/ai-risk-management-framework-resources</t>
        </is>
      </c>
      <c r="E18" s="21" t="inlineStr">
        <is>
          <t>web_page</t>
        </is>
      </c>
      <c r="F18" s="21" t="n">
        <v>3</v>
      </c>
      <c r="G18" s="21" t="inlineStr">
        <is>
          <t>Intern B</t>
        </is>
      </c>
      <c r="H18" s="18" t="n"/>
      <c r="I18" s="17" t="n"/>
      <c r="J18" s="34">
        <f>COUNTIF('Source Register'!$D$5:$D$400,B18)</f>
        <v/>
      </c>
      <c r="K18" s="17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 ht="14.25" customHeight="1" s="35">
      <c r="A19" s="21" t="inlineStr">
        <is>
          <t>F-16</t>
        </is>
      </c>
      <c r="B19" s="21" t="inlineStr">
        <is>
          <t>UNESCO</t>
        </is>
      </c>
      <c r="C19" s="21" t="inlineStr">
        <is>
          <t>UNESCO digital education / AI competencies</t>
        </is>
      </c>
      <c r="D19" s="14" t="inlineStr">
        <is>
          <t>https://www.unesco.org/en/digital-education/g77-competencies</t>
        </is>
      </c>
      <c r="E19" s="21" t="inlineStr">
        <is>
          <t>web_page</t>
        </is>
      </c>
      <c r="F19" s="21" t="n">
        <v>3</v>
      </c>
      <c r="G19" s="21" t="inlineStr">
        <is>
          <t>Intern B</t>
        </is>
      </c>
      <c r="H19" s="18" t="n"/>
      <c r="I19" s="17" t="n"/>
      <c r="J19" s="34">
        <f>COUNTIF('Source Register'!$D$5:$D$400,B19)</f>
        <v/>
      </c>
      <c r="K19" s="17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 ht="14.25" customHeight="1" s="35">
      <c r="A20" s="21" t="inlineStr">
        <is>
          <t>F-17</t>
        </is>
      </c>
      <c r="B20" s="21" t="inlineStr">
        <is>
          <t>ISO/IEC</t>
        </is>
      </c>
      <c r="C20" s="21" t="inlineStr">
        <is>
          <t>ISO AI management systems page</t>
        </is>
      </c>
      <c r="D20" s="14" t="inlineStr">
        <is>
          <t>https://www.iso.org/artificial-intelligence/ai-management-systems</t>
        </is>
      </c>
      <c r="E20" s="21" t="inlineStr">
        <is>
          <t>manual_upload</t>
        </is>
      </c>
      <c r="F20" s="21" t="n">
        <v>12</v>
      </c>
      <c r="G20" s="21" t="inlineStr">
        <is>
          <t>Intern B</t>
        </is>
      </c>
      <c r="H20" s="18" t="n"/>
      <c r="I20" s="17" t="n"/>
      <c r="J20" s="34">
        <f>COUNTIF('Source Register'!$D$5:$D$400,B20)</f>
        <v/>
      </c>
      <c r="K20" s="17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 ht="14.25" customHeight="1" s="35">
      <c r="A21" s="21" t="inlineStr">
        <is>
          <t>F-18</t>
        </is>
      </c>
      <c r="B21" s="21" t="inlineStr">
        <is>
          <t>DST</t>
        </is>
      </c>
      <c r="C21" s="21" t="inlineStr">
        <is>
          <t>National Quantum Mission</t>
        </is>
      </c>
      <c r="D21" s="14" t="inlineStr">
        <is>
          <t>https://dst.gov.in/national-quantum-mission-nqm</t>
        </is>
      </c>
      <c r="E21" s="21" t="inlineStr">
        <is>
          <t>web_page</t>
        </is>
      </c>
      <c r="F21" s="21" t="n">
        <v>12</v>
      </c>
      <c r="G21" s="21" t="inlineStr">
        <is>
          <t>Intern B</t>
        </is>
      </c>
      <c r="H21" s="18" t="n"/>
      <c r="I21" s="17" t="n"/>
      <c r="J21" s="34">
        <f>COUNTIF('Source Register'!$D$5:$D$400,B21)</f>
        <v/>
      </c>
      <c r="K21" s="17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 ht="14.25" customHeight="1" s="35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 ht="14.25" customHeight="1" s="35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 ht="14.25" customHeight="1" s="35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 ht="14.25" customHeight="1" s="35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 ht="14.25" customHeight="1" s="35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 ht="14.25" customHeight="1" s="35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 ht="14.25" customHeight="1" s="35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 ht="14.25" customHeight="1" s="35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 ht="14.25" customHeight="1" s="35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 ht="14.25" customHeight="1" s="35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 ht="14.25" customHeight="1" s="35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 ht="14.25" customHeight="1" s="35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</row>
    <row r="34" ht="14.25" customHeight="1" s="35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</row>
    <row r="35" ht="14.25" customHeight="1" s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</row>
    <row r="36" ht="14.25" customHeight="1" s="35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</row>
    <row r="37" ht="14.25" customHeight="1" s="35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</row>
    <row r="38" ht="14.25" customHeight="1" s="35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</row>
    <row r="39" ht="14.25" customHeight="1" s="35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</row>
    <row r="40" ht="14.25" customHeight="1" s="35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</row>
    <row r="41" ht="14.25" customHeight="1" s="35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</row>
    <row r="42" ht="14.25" customHeight="1" s="35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 ht="14.25" customHeight="1" s="35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 ht="14.25" customHeight="1" s="35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4.25" customHeight="1" s="35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4.25" customHeight="1" s="35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4.25" customHeight="1" s="35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4.25" customHeight="1" s="35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 ht="14.25" customHeight="1" s="35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 ht="14.25" customHeight="1" s="35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 ht="14.25" customHeight="1" s="35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 ht="14.25" customHeight="1" s="35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 ht="14.25" customHeight="1" s="35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 ht="14.25" customHeight="1" s="35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 ht="14.25" customHeight="1" s="35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 ht="14.25" customHeight="1" s="35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4.25" customHeight="1" s="35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 ht="14.25" customHeight="1" s="35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 ht="14.25" customHeight="1" s="35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 ht="14.25" customHeight="1" s="35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 ht="14.25" customHeight="1" s="35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 ht="14.25" customHeight="1" s="35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 ht="14.25" customHeight="1" s="35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 ht="14.25" customHeight="1" s="35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 ht="14.25" customHeight="1" s="35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 ht="14.25" customHeight="1" s="35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4.25" customHeight="1" s="35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 ht="14.25" customHeight="1" s="35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 ht="14.25" customHeight="1" s="35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 ht="14.25" customHeight="1" s="35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 ht="14.25" customHeight="1" s="35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 ht="14.25" customHeight="1" s="35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 ht="14.25" customHeight="1" s="35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 ht="14.25" customHeight="1" s="35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 ht="14.25" customHeight="1" s="35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4.25" customHeight="1" s="35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 ht="14.25" customHeight="1" s="35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 ht="14.25" customHeight="1" s="35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 ht="14.25" customHeight="1" s="35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 ht="14.25" customHeight="1" s="35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 ht="14.25" customHeight="1" s="35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 ht="14.25" customHeight="1" s="35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 ht="14.25" customHeight="1" s="35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 ht="14.25" customHeight="1" s="35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 ht="14.25" customHeight="1" s="35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 ht="14.25" customHeight="1" s="35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 ht="14.25" customHeight="1" s="35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4.25" customHeight="1" s="35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 ht="14.25" customHeight="1" s="35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 ht="14.25" customHeight="1" s="35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 ht="14.25" customHeight="1" s="35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 ht="14.25" customHeight="1" s="35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 ht="14.25" customHeight="1" s="35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 ht="14.25" customHeight="1" s="35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 ht="14.25" customHeight="1" s="3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 ht="14.25" customHeight="1" s="35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 ht="14.25" customHeight="1" s="35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 ht="14.25" customHeight="1" s="35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 ht="14.25" customHeight="1" s="35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4.25" customHeight="1" s="35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 ht="14.25" customHeight="1" s="35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 ht="14.25" customHeight="1" s="35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 ht="14.25" customHeight="1" s="35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 ht="14.25" customHeight="1" s="35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 ht="14.25" customHeight="1" s="35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 ht="14.25" customHeight="1" s="35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 ht="14.25" customHeight="1" s="35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 ht="14.25" customHeight="1" s="35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4.25" customHeight="1" s="35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 ht="14.25" customHeight="1" s="35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 ht="14.25" customHeight="1" s="35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 ht="14.25" customHeight="1" s="35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 ht="14.25" customHeight="1" s="35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 ht="14.25" customHeight="1" s="35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 ht="14.25" customHeight="1" s="35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 ht="14.25" customHeight="1" s="35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 ht="14.25" customHeight="1" s="35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 ht="14.25" customHeight="1" s="35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 ht="14.25" customHeight="1" s="35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 ht="14.25" customHeight="1" s="35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 ht="14.25" customHeight="1" s="35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 ht="14.25" customHeight="1" s="35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 ht="14.25" customHeight="1" s="35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 ht="14.25" customHeight="1" s="35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 ht="14.25" customHeight="1" s="35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 ht="14.25" customHeight="1" s="35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 ht="14.25" customHeight="1" s="35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 ht="14.25" customHeight="1" s="35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 ht="14.25" customHeight="1" s="35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 ht="14.25" customHeight="1" s="35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 ht="14.25" customHeight="1" s="35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 ht="14.25" customHeight="1" s="35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 ht="14.25" customHeight="1" s="35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 ht="14.25" customHeight="1" s="35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 ht="14.25" customHeight="1" s="35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4.25" customHeight="1" s="35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 ht="14.25" customHeight="1" s="35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 ht="14.25" customHeight="1" s="35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 ht="14.25" customHeight="1" s="35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 ht="14.25" customHeight="1" s="35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 ht="14.25" customHeight="1" s="35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 ht="14.25" customHeight="1" s="35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 ht="14.25" customHeight="1" s="35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 ht="14.25" customHeight="1" s="35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 ht="14.25" customHeight="1" s="35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 ht="14.25" customHeight="1" s="35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 ht="14.25" customHeight="1" s="35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 ht="14.25" customHeight="1" s="35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4.25" customHeight="1" s="35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 ht="14.25" customHeight="1" s="35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 ht="14.25" customHeight="1" s="35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 ht="14.25" customHeight="1" s="35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 ht="14.25" customHeight="1" s="35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 ht="14.25" customHeight="1" s="35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 ht="14.25" customHeight="1" s="35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 ht="14.25" customHeight="1" s="35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 ht="14.25" customHeight="1" s="35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 ht="14.25" customHeight="1" s="35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 ht="14.25" customHeight="1" s="35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 ht="14.25" customHeight="1" s="35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 ht="14.25" customHeight="1" s="35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4.25" customHeight="1" s="35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 ht="14.25" customHeight="1" s="35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 ht="14.25" customHeight="1" s="35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 ht="14.25" customHeight="1" s="35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 ht="14.25" customHeight="1" s="35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 ht="14.25" customHeight="1" s="35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 ht="14.25" customHeight="1" s="35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 ht="14.25" customHeight="1" s="35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 ht="14.25" customHeight="1" s="35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 ht="14.25" customHeight="1" s="35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 ht="14.25" customHeight="1" s="35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 ht="14.25" customHeight="1" s="35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 ht="14.25" customHeight="1" s="35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 ht="14.25" customHeight="1" s="35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 ht="14.25" customHeight="1" s="35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 ht="14.25" customHeight="1" s="35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 ht="14.25" customHeight="1" s="35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 ht="14.25" customHeight="1" s="35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 ht="14.25" customHeight="1" s="35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 ht="14.25" customHeight="1" s="35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 ht="14.25" customHeight="1" s="35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 ht="14.25" customHeight="1" s="35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 ht="14.25" customHeight="1" s="35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 ht="14.25" customHeight="1" s="35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 ht="14.25" customHeight="1" s="35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 ht="14.25" customHeight="1" s="35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 ht="14.25" customHeight="1" s="35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 ht="14.25" customHeight="1" s="35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 ht="14.25" customHeight="1" s="35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 ht="14.25" customHeight="1" s="35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 ht="14.25" customHeight="1" s="35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 ht="14.25" customHeight="1" s="35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 ht="14.25" customHeight="1" s="35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 ht="14.25" customHeight="1" s="35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 ht="14.25" customHeight="1" s="35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 ht="14.25" customHeight="1" s="35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 ht="14.25" customHeight="1" s="35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 ht="14.25" customHeight="1" s="35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 ht="14.25" customHeight="1" s="35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 ht="14.25" customHeight="1" s="35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 ht="14.25" customHeight="1" s="35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4.25" customHeight="1" s="35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 ht="14.25" customHeight="1" s="35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 ht="14.25" customHeight="1" s="35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 ht="14.25" customHeight="1" s="35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 ht="14.25" customHeight="1" s="35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 ht="14.25" customHeight="1" s="35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 ht="14.25" customHeight="1" s="35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 ht="14.25" customHeight="1" s="35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 ht="14.25" customHeight="1" s="35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 ht="14.25" customHeight="1" s="35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 ht="14.25" customHeight="1" s="35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 ht="14.25" customHeight="1" s="35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 ht="14.25" customHeight="1" s="35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 ht="14.25" customHeight="1" s="35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 ht="14.25" customHeight="1" s="35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 ht="14.25" customHeight="1" s="35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 ht="14.25" customHeight="1" s="35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 ht="14.25" customHeight="1" s="35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 ht="14.25" customHeight="1" s="35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 ht="14.25" customHeight="1" s="35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 ht="14.25" customHeight="1" s="35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 ht="14.25" customHeight="1" s="35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 ht="14.25" customHeight="1" s="35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 ht="14.25" customHeight="1" s="35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 ht="14.25" customHeight="1" s="35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 ht="14.25" customHeight="1" s="35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 ht="14.25" customHeight="1" s="35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 ht="14.25" customHeight="1" s="35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 ht="14.25" customHeight="1" s="35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 ht="14.25" customHeight="1" s="35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 ht="14.25" customHeight="1" s="35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 ht="14.25" customHeight="1" s="35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 ht="14.25" customHeight="1" s="35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 ht="14.25" customHeight="1" s="35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 ht="14.25" customHeight="1" s="35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 ht="14.25" customHeight="1" s="35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 ht="14.25" customHeight="1" s="35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 ht="14.25" customHeight="1" s="35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 ht="14.25" customHeight="1" s="35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 ht="14.25" customHeight="1" s="35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 ht="14.25" customHeight="1" s="35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 ht="14.25" customHeight="1" s="35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 ht="14.25" customHeight="1" s="35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 ht="14.25" customHeight="1" s="35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 ht="14.25" customHeight="1" s="35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 ht="14.25" customHeight="1" s="35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 ht="14.25" customHeight="1" s="35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 ht="14.25" customHeight="1" s="35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 ht="14.25" customHeight="1" s="35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 ht="14.25" customHeight="1" s="35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 ht="14.25" customHeight="1" s="35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 ht="14.25" customHeight="1" s="35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 ht="14.25" customHeight="1" s="35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 ht="14.25" customHeight="1" s="35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 ht="14.25" customHeight="1" s="35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 ht="14.25" customHeight="1" s="35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 ht="14.25" customHeight="1" s="35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 ht="14.25" customHeight="1" s="35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 ht="14.25" customHeight="1" s="35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 ht="14.25" customHeight="1" s="35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 ht="14.25" customHeight="1" s="35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 ht="14.25" customHeight="1" s="35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 ht="14.25" customHeight="1" s="35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 ht="14.25" customHeight="1" s="35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 ht="14.25" customHeight="1" s="35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 ht="14.25" customHeight="1" s="35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 ht="14.25" customHeight="1" s="35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 ht="14.25" customHeight="1" s="35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 ht="14.25" customHeight="1" s="35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 ht="14.25" customHeight="1" s="35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 ht="14.25" customHeight="1" s="35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 ht="14.25" customHeight="1" s="35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 ht="14.25" customHeight="1" s="35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 ht="14.25" customHeight="1" s="35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 ht="14.25" customHeight="1" s="35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 ht="14.25" customHeight="1" s="35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 ht="14.25" customHeight="1" s="35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 ht="14.25" customHeight="1" s="35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 ht="14.25" customHeight="1" s="35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 ht="14.25" customHeight="1" s="35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 ht="14.25" customHeight="1" s="35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 ht="14.25" customHeight="1" s="35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 ht="14.25" customHeight="1" s="35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 ht="14.25" customHeight="1" s="35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 ht="14.25" customHeight="1" s="35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 ht="14.25" customHeight="1" s="35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 ht="14.25" customHeight="1" s="35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 ht="14.25" customHeight="1" s="35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 ht="14.25" customHeight="1" s="35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 ht="14.25" customHeight="1" s="35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 ht="14.25" customHeight="1" s="35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 ht="14.25" customHeight="1" s="35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 ht="14.25" customHeight="1" s="35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 ht="14.25" customHeight="1" s="35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 ht="14.25" customHeight="1" s="35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 ht="14.25" customHeight="1" s="35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 ht="14.25" customHeight="1" s="35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 ht="14.25" customHeight="1" s="35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 ht="14.25" customHeight="1" s="35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 ht="14.25" customHeight="1" s="35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 ht="14.25" customHeight="1" s="35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 ht="14.25" customHeight="1" s="35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 ht="14.25" customHeight="1" s="35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 ht="14.25" customHeight="1" s="35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 ht="14.25" customHeight="1" s="35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 ht="14.25" customHeight="1" s="35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 ht="14.25" customHeight="1" s="35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 ht="14.25" customHeight="1" s="35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 ht="14.25" customHeight="1" s="35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 ht="14.25" customHeight="1" s="35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 ht="14.25" customHeight="1" s="35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 ht="14.25" customHeight="1" s="35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 ht="14.25" customHeight="1" s="35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 ht="14.25" customHeight="1" s="35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 ht="14.25" customHeight="1" s="35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 ht="14.25" customHeight="1" s="35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 ht="14.25" customHeight="1" s="35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 ht="14.25" customHeight="1" s="35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 ht="14.25" customHeight="1" s="35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 ht="14.25" customHeight="1" s="35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 ht="14.25" customHeight="1" s="35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 ht="14.25" customHeight="1" s="35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 ht="14.25" customHeight="1" s="35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 ht="14.25" customHeight="1" s="35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 ht="14.25" customHeight="1" s="35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 ht="14.25" customHeight="1" s="35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 ht="14.25" customHeight="1" s="35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 ht="14.25" customHeight="1" s="35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 ht="14.25" customHeight="1" s="35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 ht="14.25" customHeight="1" s="35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 ht="14.25" customHeight="1" s="35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 ht="14.25" customHeight="1" s="35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 ht="14.25" customHeight="1" s="35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 ht="14.25" customHeight="1" s="35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 ht="14.25" customHeight="1" s="35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 ht="14.25" customHeight="1" s="35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 ht="14.25" customHeight="1" s="35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 ht="14.25" customHeight="1" s="35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 ht="14.25" customHeight="1" s="35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 ht="14.25" customHeight="1" s="35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 ht="14.25" customHeight="1" s="35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 ht="14.25" customHeight="1" s="35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 ht="14.25" customHeight="1" s="35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 ht="14.25" customHeight="1" s="35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 ht="14.25" customHeight="1" s="35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 ht="14.25" customHeight="1" s="35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 ht="14.25" customHeight="1" s="35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 ht="14.25" customHeight="1" s="35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 ht="14.25" customHeight="1" s="35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 ht="14.25" customHeight="1" s="35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 ht="14.25" customHeight="1" s="35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 ht="14.25" customHeight="1" s="35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 ht="14.25" customHeight="1" s="35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 ht="14.25" customHeight="1" s="35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 ht="14.25" customHeight="1" s="35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 ht="14.25" customHeight="1" s="35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 ht="14.25" customHeight="1" s="35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 ht="14.25" customHeight="1" s="35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 ht="14.25" customHeight="1" s="35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 ht="14.25" customHeight="1" s="35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 ht="14.25" customHeight="1" s="35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 ht="14.25" customHeight="1" s="35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 ht="14.25" customHeight="1" s="35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 ht="14.25" customHeight="1" s="35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 ht="14.25" customHeight="1" s="35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 ht="14.25" customHeight="1" s="35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 ht="14.25" customHeight="1" s="35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 ht="14.25" customHeight="1" s="35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 ht="14.25" customHeight="1" s="35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 ht="14.25" customHeight="1" s="35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 ht="14.25" customHeight="1" s="35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 ht="14.25" customHeight="1" s="35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 ht="14.25" customHeight="1" s="35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 ht="14.25" customHeight="1" s="35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 ht="14.25" customHeight="1" s="35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 ht="14.25" customHeight="1" s="35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 ht="14.25" customHeight="1" s="35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 ht="14.25" customHeight="1" s="35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 ht="14.25" customHeight="1" s="35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 ht="14.25" customHeight="1" s="35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 ht="14.25" customHeight="1" s="35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 ht="14.25" customHeight="1" s="35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 ht="14.25" customHeight="1" s="35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 ht="14.25" customHeight="1" s="35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 ht="14.25" customHeight="1" s="35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 ht="14.25" customHeight="1" s="35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 ht="14.25" customHeight="1" s="35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 ht="14.25" customHeight="1" s="35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 ht="14.25" customHeight="1" s="35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 ht="14.25" customHeight="1" s="35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 ht="14.25" customHeight="1" s="35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 ht="14.25" customHeight="1" s="35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 ht="14.25" customHeight="1" s="35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 ht="14.25" customHeight="1" s="35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 ht="14.25" customHeight="1" s="35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 ht="14.25" customHeight="1" s="35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 ht="14.25" customHeight="1" s="35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 ht="14.25" customHeight="1" s="35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 ht="14.25" customHeight="1" s="35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 ht="14.25" customHeight="1" s="35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 ht="14.25" customHeight="1" s="35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 ht="14.25" customHeight="1" s="35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 ht="14.25" customHeight="1" s="3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 ht="14.25" customHeight="1" s="35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 ht="14.25" customHeight="1" s="35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 ht="14.25" customHeight="1" s="35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 ht="14.25" customHeight="1" s="35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 ht="14.25" customHeight="1" s="35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 ht="14.25" customHeight="1" s="35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 ht="14.25" customHeight="1" s="35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 ht="14.25" customHeight="1" s="35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 ht="14.25" customHeight="1" s="35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 ht="14.25" customHeight="1" s="3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 ht="14.25" customHeight="1" s="35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 ht="14.25" customHeight="1" s="35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 ht="14.25" customHeight="1" s="35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 ht="14.25" customHeight="1" s="35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 ht="14.25" customHeight="1" s="35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 ht="14.25" customHeight="1" s="35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 ht="14.25" customHeight="1" s="35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 ht="14.25" customHeight="1" s="35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 ht="14.25" customHeight="1" s="35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 ht="14.25" customHeight="1" s="3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 ht="14.25" customHeight="1" s="35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 ht="14.25" customHeight="1" s="35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 ht="14.25" customHeight="1" s="35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 ht="14.25" customHeight="1" s="35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 ht="14.25" customHeight="1" s="35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 ht="14.25" customHeight="1" s="35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 ht="14.25" customHeight="1" s="35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 ht="14.25" customHeight="1" s="35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 ht="14.25" customHeight="1" s="35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 ht="14.25" customHeight="1" s="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 ht="14.25" customHeight="1" s="35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 ht="14.25" customHeight="1" s="35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 ht="14.25" customHeight="1" s="35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 ht="14.25" customHeight="1" s="35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 ht="14.25" customHeight="1" s="35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 ht="14.25" customHeight="1" s="35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 ht="14.25" customHeight="1" s="35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 ht="14.25" customHeight="1" s="35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 ht="14.25" customHeight="1" s="35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 ht="14.25" customHeight="1" s="3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 ht="14.25" customHeight="1" s="35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 ht="14.25" customHeight="1" s="35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 ht="14.25" customHeight="1" s="35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 ht="14.25" customHeight="1" s="35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 ht="14.25" customHeight="1" s="35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 ht="14.25" customHeight="1" s="35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 ht="14.25" customHeight="1" s="35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 ht="14.25" customHeight="1" s="35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 ht="14.25" customHeight="1" s="35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 ht="14.25" customHeight="1" s="3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 ht="14.25" customHeight="1" s="35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 ht="14.25" customHeight="1" s="35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 ht="14.25" customHeight="1" s="35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 ht="14.25" customHeight="1" s="35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 ht="14.25" customHeight="1" s="35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 ht="14.25" customHeight="1" s="35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 ht="14.25" customHeight="1" s="35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 ht="14.25" customHeight="1" s="35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 ht="14.25" customHeight="1" s="35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 ht="14.25" customHeight="1" s="3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4.25" customHeight="1" s="35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4.25" customHeight="1" s="35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4.25" customHeight="1" s="35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4.25" customHeight="1" s="35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4.25" customHeight="1" s="35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4.25" customHeight="1" s="35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4.25" customHeight="1" s="35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4.25" customHeight="1" s="35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4.25" customHeight="1" s="35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4.25" customHeight="1" s="3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4.25" customHeight="1" s="35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4.25" customHeight="1" s="35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4.25" customHeight="1" s="35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4.25" customHeight="1" s="35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4.25" customHeight="1" s="35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4.25" customHeight="1" s="35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4.25" customHeight="1" s="35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4.25" customHeight="1" s="35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4.25" customHeight="1" s="35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4.25" customHeight="1" s="3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4.25" customHeight="1" s="35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4.25" customHeight="1" s="35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4.25" customHeight="1" s="35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4.25" customHeight="1" s="35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4.25" customHeight="1" s="35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4.25" customHeight="1" s="35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4.25" customHeight="1" s="35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4.25" customHeight="1" s="35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4.25" customHeight="1" s="35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4.25" customHeight="1" s="3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4.25" customHeight="1" s="35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4.25" customHeight="1" s="35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4.25" customHeight="1" s="35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4.25" customHeight="1" s="35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4.25" customHeight="1" s="35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4.25" customHeight="1" s="35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4.25" customHeight="1" s="35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4.25" customHeight="1" s="35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4.25" customHeight="1" s="35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4.25" customHeight="1" s="3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4.25" customHeight="1" s="35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4.25" customHeight="1" s="35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4.25" customHeight="1" s="35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4.25" customHeight="1" s="35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4.25" customHeight="1" s="35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4.25" customHeight="1" s="35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4.25" customHeight="1" s="35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4.25" customHeight="1" s="35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4.25" customHeight="1" s="35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4.25" customHeight="1" s="3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4.25" customHeight="1" s="35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4.25" customHeight="1" s="35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4.25" customHeight="1" s="35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4.25" customHeight="1" s="35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4.25" customHeight="1" s="35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4.25" customHeight="1" s="35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4.25" customHeight="1" s="35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4.25" customHeight="1" s="35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4.25" customHeight="1" s="35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4.25" customHeight="1" s="3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4.25" customHeight="1" s="35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4.25" customHeight="1" s="35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4.25" customHeight="1" s="35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4.25" customHeight="1" s="35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4.25" customHeight="1" s="35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4.25" customHeight="1" s="35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4.25" customHeight="1" s="35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4.25" customHeight="1" s="35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4.25" customHeight="1" s="35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4.25" customHeight="1" s="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4.25" customHeight="1" s="35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4.25" customHeight="1" s="35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4.25" customHeight="1" s="35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4.25" customHeight="1" s="35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4.25" customHeight="1" s="35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4.25" customHeight="1" s="35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4.25" customHeight="1" s="35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4.25" customHeight="1" s="35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4.25" customHeight="1" s="35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4.25" customHeight="1" s="3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4.25" customHeight="1" s="35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4.25" customHeight="1" s="35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4.25" customHeight="1" s="35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4.25" customHeight="1" s="35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4.25" customHeight="1" s="35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4.25" customHeight="1" s="35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4.25" customHeight="1" s="35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4.25" customHeight="1" s="35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4.25" customHeight="1" s="35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4.25" customHeight="1" s="3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4.25" customHeight="1" s="35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4.25" customHeight="1" s="35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4.25" customHeight="1" s="35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4.25" customHeight="1" s="35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4.25" customHeight="1" s="35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4.25" customHeight="1" s="35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4.25" customHeight="1" s="35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4.25" customHeight="1" s="35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4.25" customHeight="1" s="35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4.25" customHeight="1" s="3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4.25" customHeight="1" s="35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4.25" customHeight="1" s="35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4.25" customHeight="1" s="35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4.25" customHeight="1" s="35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4.25" customHeight="1" s="35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4.25" customHeight="1" s="35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4.25" customHeight="1" s="35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4.25" customHeight="1" s="35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4.25" customHeight="1" s="35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4.25" customHeight="1" s="3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4.25" customHeight="1" s="35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4.25" customHeight="1" s="35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4.25" customHeight="1" s="35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4.25" customHeight="1" s="35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4.25" customHeight="1" s="35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4.25" customHeight="1" s="35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4.25" customHeight="1" s="35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4.25" customHeight="1" s="35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4.25" customHeight="1" s="35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4.25" customHeight="1" s="3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4.25" customHeight="1" s="35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4.25" customHeight="1" s="35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4.25" customHeight="1" s="35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4.25" customHeight="1" s="35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4.25" customHeight="1" s="35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4.25" customHeight="1" s="35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4.25" customHeight="1" s="35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4.25" customHeight="1" s="35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4.25" customHeight="1" s="35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4.25" customHeight="1" s="3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4.25" customHeight="1" s="35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4.25" customHeight="1" s="35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4.25" customHeight="1" s="35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4.25" customHeight="1" s="35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4.25" customHeight="1" s="35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4.25" customHeight="1" s="35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4.25" customHeight="1" s="35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4.25" customHeight="1" s="35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4.25" customHeight="1" s="35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4.25" customHeight="1" s="3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4.25" customHeight="1" s="35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4.25" customHeight="1" s="35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4.25" customHeight="1" s="35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4.25" customHeight="1" s="35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4.25" customHeight="1" s="35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4.25" customHeight="1" s="35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4.25" customHeight="1" s="35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4.25" customHeight="1" s="35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4.25" customHeight="1" s="35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4.25" customHeight="1" s="3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4.25" customHeight="1" s="35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4.25" customHeight="1" s="35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4.25" customHeight="1" s="35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4.25" customHeight="1" s="35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4.25" customHeight="1" s="35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4.25" customHeight="1" s="35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4.25" customHeight="1" s="35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4.25" customHeight="1" s="35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4.25" customHeight="1" s="35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4.25" customHeight="1" s="3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4.25" customHeight="1" s="35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4.25" customHeight="1" s="35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4.25" customHeight="1" s="35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4.25" customHeight="1" s="35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4.25" customHeight="1" s="35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4.25" customHeight="1" s="35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4.25" customHeight="1" s="35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4.25" customHeight="1" s="35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4.25" customHeight="1" s="35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4.25" customHeight="1" s="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4.25" customHeight="1" s="35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4.25" customHeight="1" s="35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4.25" customHeight="1" s="35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4.25" customHeight="1" s="35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4.25" customHeight="1" s="35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4.25" customHeight="1" s="35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4.25" customHeight="1" s="35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4.25" customHeight="1" s="35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4.25" customHeight="1" s="35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4.25" customHeight="1" s="3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4.25" customHeight="1" s="35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4.25" customHeight="1" s="35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4.25" customHeight="1" s="35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4.25" customHeight="1" s="35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4.25" customHeight="1" s="35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4.25" customHeight="1" s="35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4.25" customHeight="1" s="35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4.25" customHeight="1" s="35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4.25" customHeight="1" s="35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4.25" customHeight="1" s="3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4.25" customHeight="1" s="35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4.25" customHeight="1" s="35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4.25" customHeight="1" s="35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4.25" customHeight="1" s="35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4.25" customHeight="1" s="35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4.25" customHeight="1" s="35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4.25" customHeight="1" s="35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4.25" customHeight="1" s="35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4.25" customHeight="1" s="35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4.25" customHeight="1" s="3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4.25" customHeight="1" s="35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4.25" customHeight="1" s="35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4.25" customHeight="1" s="35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4.25" customHeight="1" s="35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4.25" customHeight="1" s="35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4.25" customHeight="1" s="35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4.25" customHeight="1" s="35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4.25" customHeight="1" s="35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4.25" customHeight="1" s="35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4.25" customHeight="1" s="3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4.25" customHeight="1" s="35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4.25" customHeight="1" s="35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4.25" customHeight="1" s="35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4.25" customHeight="1" s="35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4.25" customHeight="1" s="35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4.25" customHeight="1" s="35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4.25" customHeight="1" s="35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4.25" customHeight="1" s="35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4.25" customHeight="1" s="35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4.25" customHeight="1" s="3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4.25" customHeight="1" s="35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4.25" customHeight="1" s="35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4.25" customHeight="1" s="35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4.25" customHeight="1" s="35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4.25" customHeight="1" s="35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4.25" customHeight="1" s="35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4.25" customHeight="1" s="35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4.25" customHeight="1" s="35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4.25" customHeight="1" s="35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4.25" customHeight="1" s="3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4.25" customHeight="1" s="35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4.25" customHeight="1" s="35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4.25" customHeight="1" s="35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4.25" customHeight="1" s="35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4.25" customHeight="1" s="35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4.25" customHeight="1" s="35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4.25" customHeight="1" s="35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4.25" customHeight="1" s="35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4.25" customHeight="1" s="35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4.25" customHeight="1" s="3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4.25" customHeight="1" s="35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4.25" customHeight="1" s="35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4.25" customHeight="1" s="35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4.25" customHeight="1" s="35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4.25" customHeight="1" s="35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4.25" customHeight="1" s="35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4.25" customHeight="1" s="35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4.25" customHeight="1" s="35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4.25" customHeight="1" s="35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4.25" customHeight="1" s="3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4.25" customHeight="1" s="35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4.25" customHeight="1" s="35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4.25" customHeight="1" s="35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4.25" customHeight="1" s="35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4.25" customHeight="1" s="35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4.25" customHeight="1" s="35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4.25" customHeight="1" s="35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4.25" customHeight="1" s="35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4.25" customHeight="1" s="35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4.25" customHeight="1" s="3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4.25" customHeight="1" s="35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4.25" customHeight="1" s="35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4.25" customHeight="1" s="35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4.25" customHeight="1" s="35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4.25" customHeight="1" s="35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4.25" customHeight="1" s="35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4.25" customHeight="1" s="35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4.25" customHeight="1" s="35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4.25" customHeight="1" s="35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4.25" customHeight="1" s="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4.25" customHeight="1" s="35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4.25" customHeight="1" s="35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4.25" customHeight="1" s="35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4.25" customHeight="1" s="35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4.25" customHeight="1" s="35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4.25" customHeight="1" s="35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4.25" customHeight="1" s="35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4.25" customHeight="1" s="35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4.25" customHeight="1" s="35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4.25" customHeight="1" s="3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4.25" customHeight="1" s="35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4.25" customHeight="1" s="35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4.25" customHeight="1" s="35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4.25" customHeight="1" s="35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4.25" customHeight="1" s="35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4.25" customHeight="1" s="35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4.25" customHeight="1" s="35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4.25" customHeight="1" s="35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4.25" customHeight="1" s="35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4.25" customHeight="1" s="3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4.25" customHeight="1" s="35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4.25" customHeight="1" s="35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4.25" customHeight="1" s="35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4.25" customHeight="1" s="35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4.25" customHeight="1" s="35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4.25" customHeight="1" s="35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4.25" customHeight="1" s="35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4.25" customHeight="1" s="35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4.25" customHeight="1" s="35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4.25" customHeight="1" s="3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4.25" customHeight="1" s="35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4.25" customHeight="1" s="35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4.25" customHeight="1" s="35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4.25" customHeight="1" s="35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4.25" customHeight="1" s="35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4.25" customHeight="1" s="35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4.25" customHeight="1" s="35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4.25" customHeight="1" s="35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4.25" customHeight="1" s="35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4.25" customHeight="1" s="3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4.25" customHeight="1" s="35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4.25" customHeight="1" s="35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4.25" customHeight="1" s="35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4.25" customHeight="1" s="35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4.25" customHeight="1" s="35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4.25" customHeight="1" s="35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4.25" customHeight="1" s="35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4.25" customHeight="1" s="35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4.25" customHeight="1" s="35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4.25" customHeight="1" s="3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4.25" customHeight="1" s="35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4.25" customHeight="1" s="35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4.25" customHeight="1" s="35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4.25" customHeight="1" s="35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4.25" customHeight="1" s="35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4.25" customHeight="1" s="35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4.25" customHeight="1" s="35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4.25" customHeight="1" s="35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4.25" customHeight="1" s="35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4.25" customHeight="1" s="3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4.25" customHeight="1" s="35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4.25" customHeight="1" s="35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4.25" customHeight="1" s="35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4.25" customHeight="1" s="35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4.25" customHeight="1" s="35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4.25" customHeight="1" s="35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4.25" customHeight="1" s="35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4.25" customHeight="1" s="35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4.25" customHeight="1" s="35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4.25" customHeight="1" s="3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4.25" customHeight="1" s="35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4.25" customHeight="1" s="35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4.25" customHeight="1" s="35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4.25" customHeight="1" s="35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4.25" customHeight="1" s="35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4.25" customHeight="1" s="35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4.25" customHeight="1" s="35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4.25" customHeight="1" s="35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4.25" customHeight="1" s="35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4.25" customHeight="1" s="3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4.25" customHeight="1" s="35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4.25" customHeight="1" s="35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4.25" customHeight="1" s="35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4.25" customHeight="1" s="35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4.25" customHeight="1" s="35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4.25" customHeight="1" s="35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4.25" customHeight="1" s="35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4.25" customHeight="1" s="35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4.25" customHeight="1" s="35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4.25" customHeight="1" s="3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4.25" customHeight="1" s="35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4.25" customHeight="1" s="35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4.25" customHeight="1" s="35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4.25" customHeight="1" s="35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4.25" customHeight="1" s="35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4.25" customHeight="1" s="35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4.25" customHeight="1" s="35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4.25" customHeight="1" s="35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4.25" customHeight="1" s="35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4.25" customHeight="1" s="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4.25" customHeight="1" s="35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4.25" customHeight="1" s="35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4.25" customHeight="1" s="35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4.25" customHeight="1" s="35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4.25" customHeight="1" s="35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4.25" customHeight="1" s="35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4.25" customHeight="1" s="35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4.25" customHeight="1" s="35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4.25" customHeight="1" s="35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4.25" customHeight="1" s="3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4.25" customHeight="1" s="35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4.25" customHeight="1" s="35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4.25" customHeight="1" s="35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4.25" customHeight="1" s="35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4.25" customHeight="1" s="35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4.25" customHeight="1" s="35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4.25" customHeight="1" s="35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4.25" customHeight="1" s="35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4.25" customHeight="1" s="35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4.25" customHeight="1" s="3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4.25" customHeight="1" s="35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4.25" customHeight="1" s="35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4.25" customHeight="1" s="35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4.25" customHeight="1" s="35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4.25" customHeight="1" s="35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4.25" customHeight="1" s="35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4.25" customHeight="1" s="35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4.25" customHeight="1" s="35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4.25" customHeight="1" s="35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4.25" customHeight="1" s="3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4.25" customHeight="1" s="35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4.25" customHeight="1" s="35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4.25" customHeight="1" s="35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4.25" customHeight="1" s="35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4.25" customHeight="1" s="35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4.25" customHeight="1" s="35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4.25" customHeight="1" s="35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4.25" customHeight="1" s="35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4.25" customHeight="1" s="35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4.25" customHeight="1" s="3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4.25" customHeight="1" s="35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4.25" customHeight="1" s="35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4.25" customHeight="1" s="35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4.25" customHeight="1" s="35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4.25" customHeight="1" s="35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4.25" customHeight="1" s="35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4.25" customHeight="1" s="35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4.25" customHeight="1" s="35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4.25" customHeight="1" s="35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4.25" customHeight="1" s="3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4.25" customHeight="1" s="35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4.25" customHeight="1" s="35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4.25" customHeight="1" s="35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4.25" customHeight="1" s="35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4.25" customHeight="1" s="35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4.25" customHeight="1" s="35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4.25" customHeight="1" s="35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4.25" customHeight="1" s="35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4.25" customHeight="1" s="35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4.25" customHeight="1" s="3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4.25" customHeight="1" s="35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4.25" customHeight="1" s="35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4.25" customHeight="1" s="35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4.25" customHeight="1" s="35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4.25" customHeight="1" s="35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4.25" customHeight="1" s="35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4.25" customHeight="1" s="35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4.25" customHeight="1" s="35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4.25" customHeight="1" s="35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4.25" customHeight="1" s="3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4.25" customHeight="1" s="35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4.25" customHeight="1" s="35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4.25" customHeight="1" s="35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4.25" customHeight="1" s="35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4.25" customHeight="1" s="35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4.25" customHeight="1" s="35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4.25" customHeight="1" s="35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4.25" customHeight="1" s="35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4.25" customHeight="1" s="35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4.25" customHeight="1" s="3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4.25" customHeight="1" s="35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4.25" customHeight="1" s="35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4.25" customHeight="1" s="35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4.25" customHeight="1" s="35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4.25" customHeight="1" s="35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4.25" customHeight="1" s="35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4.25" customHeight="1" s="35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4.25" customHeight="1" s="35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4.25" customHeight="1" s="35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4.25" customHeight="1" s="3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4.25" customHeight="1" s="35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4.25" customHeight="1" s="35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4.25" customHeight="1" s="35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4.25" customHeight="1" s="35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4.25" customHeight="1" s="35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4.25" customHeight="1" s="35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4.25" customHeight="1" s="35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4.25" customHeight="1" s="35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4.25" customHeight="1" s="35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4.25" customHeight="1" s="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4.25" customHeight="1" s="35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4.25" customHeight="1" s="35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4.25" customHeight="1" s="35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4.25" customHeight="1" s="35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4.25" customHeight="1" s="35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4.25" customHeight="1" s="35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4.25" customHeight="1" s="35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4.25" customHeight="1" s="35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4.25" customHeight="1" s="35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4.25" customHeight="1" s="3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4.25" customHeight="1" s="35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4.25" customHeight="1" s="35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4.25" customHeight="1" s="35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4.25" customHeight="1" s="35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4.25" customHeight="1" s="35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4.25" customHeight="1" s="35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4.25" customHeight="1" s="35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4.25" customHeight="1" s="35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4.25" customHeight="1" s="35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4.25" customHeight="1" s="3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4.25" customHeight="1" s="35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4.25" customHeight="1" s="35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4.25" customHeight="1" s="35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4.25" customHeight="1" s="35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4.25" customHeight="1" s="35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4.25" customHeight="1" s="35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4.25" customHeight="1" s="35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4.25" customHeight="1" s="35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4.25" customHeight="1" s="35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4.25" customHeight="1" s="35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4.25" customHeight="1" s="35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4.25" customHeight="1" s="35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4.25" customHeight="1" s="35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4.25" customHeight="1" s="35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4.25" customHeight="1" s="35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4.25" customHeight="1" s="35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4.25" customHeight="1" s="35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4.25" customHeight="1" s="35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4.25" customHeight="1" s="35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4.25" customHeight="1" s="35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4.25" customHeight="1" s="35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4.25" customHeight="1" s="35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4.25" customHeight="1" s="35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4.25" customHeight="1" s="35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4.25" customHeight="1" s="35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4.25" customHeight="1" s="35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4.25" customHeight="1" s="35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4.25" customHeight="1" s="35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4.25" customHeight="1" s="35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4.25" customHeight="1" s="35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4.25" customHeight="1" s="35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4.25" customHeight="1" s="35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4.25" customHeight="1" s="35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  <row r="989" ht="14.25" customHeight="1" s="35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</row>
    <row r="990" ht="14.25" customHeight="1" s="35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</row>
    <row r="991" ht="14.25" customHeight="1" s="35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</row>
    <row r="992" ht="14.25" customHeight="1" s="35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</row>
    <row r="993" ht="14.25" customHeight="1" s="35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</row>
    <row r="994" ht="14.25" customHeight="1" s="35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</row>
    <row r="995" ht="14.25" customHeight="1" s="35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</row>
    <row r="996" ht="14.25" customHeight="1" s="35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</row>
    <row r="997" ht="14.25" customHeight="1" s="35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</row>
    <row r="998" ht="14.25" customHeight="1" s="35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</row>
    <row r="999" ht="14.25" customHeight="1" s="35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</row>
    <row r="1000" ht="14.25" customHeight="1" s="35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</row>
  </sheetData>
  <dataValidations count="3">
    <dataValidation sqref="E4:E60" showDropDown="0" showInputMessage="0" showErrorMessage="0" allowBlank="1" type="list">
      <formula1>Lists!$I$3:$I$7</formula1>
    </dataValidation>
    <dataValidation sqref="G4:G60" showDropDown="0" showInputMessage="0" showErrorMessage="0" allowBlank="1" type="list">
      <formula1>Lists!$A$3:$A$4</formula1>
    </dataValidation>
    <dataValidation sqref="I4:I60" showDropDown="0" showInputMessage="0" showErrorMessage="0" allowBlank="1" type="list">
      <formula1>Lists!$H$3:$H$4</formula1>
    </dataValidation>
  </dataValidation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2" customWidth="1" style="35" min="1" max="1"/>
    <col width="9" customWidth="1" style="35" min="2" max="2"/>
    <col width="34" customWidth="1" style="35" min="3" max="3"/>
    <col width="46" customWidth="1" style="35" min="4" max="4"/>
    <col width="40" customWidth="1" style="35" min="5" max="5"/>
    <col width="34" customWidth="1" style="35" min="6" max="6"/>
    <col width="8.710000000000001" customWidth="1" style="35" min="7" max="26"/>
  </cols>
  <sheetData>
    <row r="1" ht="14.25" customHeight="1" s="35">
      <c r="A1" s="2" t="inlineStr">
        <is>
          <t>Reference only: the 60 benchmarks from the manager's Source Pack v0.2 (for the "Related Benchmark IDs" column)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</row>
    <row r="2" ht="14.25" customHeight="1" s="35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</row>
    <row r="3" ht="14.25" customHeight="1" s="35">
      <c r="A3" s="8" t="inlineStr">
        <is>
          <t>Benchmark ID</t>
        </is>
      </c>
      <c r="B3" s="8" t="inlineStr">
        <is>
          <t>Pillar ID</t>
        </is>
      </c>
      <c r="C3" s="8" t="inlineStr">
        <is>
          <t>Pillar</t>
        </is>
      </c>
      <c r="D3" s="8" t="inlineStr">
        <is>
          <t>Benchmark Domain</t>
        </is>
      </c>
      <c r="E3" s="8" t="inlineStr">
        <is>
          <t>Source Basis</t>
        </is>
      </c>
      <c r="F3" s="8" t="inlineStr">
        <is>
          <t>Benchmark Class</t>
        </is>
      </c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</row>
    <row r="4" ht="14.25" customHeight="1" s="35">
      <c r="A4" s="21" t="inlineStr">
        <is>
          <t>GOV-01</t>
        </is>
      </c>
      <c r="B4" s="21" t="inlineStr">
        <is>
          <t>P01</t>
        </is>
      </c>
      <c r="C4" s="21" t="inlineStr">
        <is>
          <t>Institutional governance, quality and compliance</t>
        </is>
      </c>
      <c r="D4" s="21" t="inlineStr">
        <is>
          <t>Strategic direction and institutional development</t>
        </is>
      </c>
      <c r="E4" s="21" t="inlineStr">
        <is>
          <t>UGC Institutional Development Plans; NAAC C6</t>
        </is>
      </c>
      <c r="F4" s="21" t="inlineStr">
        <is>
          <t>Mandatory/authoritative source mapping plus maturity benchmark</t>
        </is>
      </c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</row>
    <row r="5" ht="14.25" customHeight="1" s="35">
      <c r="A5" s="21" t="inlineStr">
        <is>
          <t>GOV-02</t>
        </is>
      </c>
      <c r="B5" s="21" t="inlineStr">
        <is>
          <t>P01</t>
        </is>
      </c>
      <c r="C5" s="21" t="inlineStr">
        <is>
          <t>Institutional governance, quality and compliance</t>
        </is>
      </c>
      <c r="D5" s="21" t="inlineStr">
        <is>
          <t>Governing bodies and delegated authority</t>
        </is>
      </c>
      <c r="E5" s="21" t="inlineStr">
        <is>
          <t>NAAC C6; applicable statutes</t>
        </is>
      </c>
      <c r="F5" s="21" t="inlineStr">
        <is>
          <t>Mandatory/authoritative source mapping plus maturity benchmark</t>
        </is>
      </c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</row>
    <row r="6" ht="14.25" customHeight="1" s="35">
      <c r="A6" s="21" t="inlineStr">
        <is>
          <t>GOV-03</t>
        </is>
      </c>
      <c r="B6" s="21" t="inlineStr">
        <is>
          <t>P01</t>
        </is>
      </c>
      <c r="C6" s="21" t="inlineStr">
        <is>
          <t>Institutional governance, quality and compliance</t>
        </is>
      </c>
      <c r="D6" s="21" t="inlineStr">
        <is>
          <t>Quality assurance and continuous improvement</t>
        </is>
      </c>
      <c r="E6" s="21" t="inlineStr">
        <is>
          <t>NAAC C6</t>
        </is>
      </c>
      <c r="F6" s="21" t="inlineStr">
        <is>
          <t>Mandatory/authoritative source mapping plus maturity benchmark</t>
        </is>
      </c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4.25" customHeight="1" s="35">
      <c r="A7" s="21" t="inlineStr">
        <is>
          <t>GOV-04</t>
        </is>
      </c>
      <c r="B7" s="21" t="inlineStr">
        <is>
          <t>P01</t>
        </is>
      </c>
      <c r="C7" s="21" t="inlineStr">
        <is>
          <t>Institutional governance, quality and compliance</t>
        </is>
      </c>
      <c r="D7" s="21" t="inlineStr">
        <is>
          <t>Regulatory, accreditation and disclosure compliance</t>
        </is>
      </c>
      <c r="E7" s="21" t="inlineStr">
        <is>
          <t>NAAC; UGC; AICTE; DGT; NBA</t>
        </is>
      </c>
      <c r="F7" s="21" t="inlineStr">
        <is>
          <t>Mandatory/authoritative source mapping plus maturity benchmark</t>
        </is>
      </c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 ht="14.25" customHeight="1" s="35">
      <c r="A8" s="21" t="inlineStr">
        <is>
          <t>GOV-05</t>
        </is>
      </c>
      <c r="B8" s="21" t="inlineStr">
        <is>
          <t>P01</t>
        </is>
      </c>
      <c r="C8" s="21" t="inlineStr">
        <is>
          <t>Institutional governance, quality and compliance</t>
        </is>
      </c>
      <c r="D8" s="21" t="inlineStr">
        <is>
          <t>Enterprise risk, internal control and audit</t>
        </is>
      </c>
      <c r="E8" s="21" t="inlineStr">
        <is>
          <t>InGage proposed; applicable audit rules</t>
        </is>
      </c>
      <c r="F8" s="21" t="inlineStr">
        <is>
          <t>Proposed InGage maturity benchmark</t>
        </is>
      </c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</row>
    <row r="9" ht="14.25" customHeight="1" s="35">
      <c r="A9" s="21" t="inlineStr">
        <is>
          <t>GOV-06</t>
        </is>
      </c>
      <c r="B9" s="21" t="inlineStr">
        <is>
          <t>P01</t>
        </is>
      </c>
      <c r="C9" s="21" t="inlineStr">
        <is>
          <t>Institutional governance, quality and compliance</t>
        </is>
      </c>
      <c r="D9" s="21" t="inlineStr">
        <is>
          <t>Financial governance and resource stewardship</t>
        </is>
      </c>
      <c r="E9" s="21" t="inlineStr">
        <is>
          <t>NAAC C6; NIRF; AICTE/DGT where applicable</t>
        </is>
      </c>
      <c r="F9" s="21" t="inlineStr">
        <is>
          <t>Mandatory/authoritative source mapping plus maturity benchmark</t>
        </is>
      </c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4.25" customHeight="1" s="35">
      <c r="A10" s="21" t="inlineStr">
        <is>
          <t>GOV-07</t>
        </is>
      </c>
      <c r="B10" s="21" t="inlineStr">
        <is>
          <t>P01</t>
        </is>
      </c>
      <c r="C10" s="21" t="inlineStr">
        <is>
          <t>Institutional governance, quality and compliance</t>
        </is>
      </c>
      <c r="D10" s="21" t="inlineStr">
        <is>
          <t>Policy lifecycle and records governance</t>
        </is>
      </c>
      <c r="E10" s="21" t="inlineStr">
        <is>
          <t>InGage proposed; legal/regulatory context</t>
        </is>
      </c>
      <c r="F10" s="21" t="inlineStr">
        <is>
          <t>Proposed InGage maturity benchmark</t>
        </is>
      </c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 ht="14.25" customHeight="1" s="35">
      <c r="A11" s="21" t="inlineStr">
        <is>
          <t>GOV-08</t>
        </is>
      </c>
      <c r="B11" s="21" t="inlineStr">
        <is>
          <t>P01</t>
        </is>
      </c>
      <c r="C11" s="21" t="inlineStr">
        <is>
          <t>Institutional governance, quality and compliance</t>
        </is>
      </c>
      <c r="D11" s="21" t="inlineStr">
        <is>
          <t>Institutional reputation, communication and transparency</t>
        </is>
      </c>
      <c r="E11" s="21" t="inlineStr">
        <is>
          <t>UGC public self-disclosure guidance; NAAC</t>
        </is>
      </c>
      <c r="F11" s="21" t="inlineStr">
        <is>
          <t>Mandatory/authoritative source mapping plus maturity benchmark</t>
        </is>
      </c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 ht="14.25" customHeight="1" s="35">
      <c r="A12" s="21" t="inlineStr">
        <is>
          <t>ACA-01</t>
        </is>
      </c>
      <c r="B12" s="21" t="inlineStr">
        <is>
          <t>P02</t>
        </is>
      </c>
      <c r="C12" s="21" t="inlineStr">
        <is>
          <t>Academic design and delivery</t>
        </is>
      </c>
      <c r="D12" s="21" t="inlineStr">
        <is>
          <t>Curriculum relevance and revision</t>
        </is>
      </c>
      <c r="E12" s="21" t="inlineStr">
        <is>
          <t>NAAC C1; UGC; AICTE/DGT; NBA</t>
        </is>
      </c>
      <c r="F12" s="21" t="inlineStr">
        <is>
          <t>Mandatory/authoritative source mapping plus maturity benchmark</t>
        </is>
      </c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4.25" customHeight="1" s="35">
      <c r="A13" s="21" t="inlineStr">
        <is>
          <t>ACA-02</t>
        </is>
      </c>
      <c r="B13" s="21" t="inlineStr">
        <is>
          <t>P02</t>
        </is>
      </c>
      <c r="C13" s="21" t="inlineStr">
        <is>
          <t>Academic design and delivery</t>
        </is>
      </c>
      <c r="D13" s="21" t="inlineStr">
        <is>
          <t>Outcome-based education and competency alignment</t>
        </is>
      </c>
      <c r="E13" s="21" t="inlineStr">
        <is>
          <t>NBA; NAAC; AICTE/DGT where applicable</t>
        </is>
      </c>
      <c r="F13" s="21" t="inlineStr">
        <is>
          <t>Mandatory/authoritative source mapping plus maturity benchmark</t>
        </is>
      </c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 ht="14.25" customHeight="1" s="35">
      <c r="A14" s="21" t="inlineStr">
        <is>
          <t>ACA-03</t>
        </is>
      </c>
      <c r="B14" s="21" t="inlineStr">
        <is>
          <t>P02</t>
        </is>
      </c>
      <c r="C14" s="21" t="inlineStr">
        <is>
          <t>Academic design and delivery</t>
        </is>
      </c>
      <c r="D14" s="21" t="inlineStr">
        <is>
          <t>Multidisciplinary, flexible and lifelong learning</t>
        </is>
      </c>
      <c r="E14" s="21" t="inlineStr">
        <is>
          <t>NEP 2020; UGC frameworks</t>
        </is>
      </c>
      <c r="F14" s="21" t="inlineStr">
        <is>
          <t>Mandatory/authoritative source mapping plus maturity benchmark</t>
        </is>
      </c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 ht="14.25" customHeight="1" s="35">
      <c r="A15" s="21" t="inlineStr">
        <is>
          <t>ACA-04</t>
        </is>
      </c>
      <c r="B15" s="21" t="inlineStr">
        <is>
          <t>P02</t>
        </is>
      </c>
      <c r="C15" s="21" t="inlineStr">
        <is>
          <t>Academic design and delivery</t>
        </is>
      </c>
      <c r="D15" s="21" t="inlineStr">
        <is>
          <t>Teaching-learning design and delivery</t>
        </is>
      </c>
      <c r="E15" s="21" t="inlineStr">
        <is>
          <t>NAAC C2; NBA; DGT</t>
        </is>
      </c>
      <c r="F15" s="21" t="inlineStr">
        <is>
          <t>Mandatory/authoritative source mapping plus maturity benchmark</t>
        </is>
      </c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4.25" customHeight="1" s="35">
      <c r="A16" s="21" t="inlineStr">
        <is>
          <t>ACA-05</t>
        </is>
      </c>
      <c r="B16" s="21" t="inlineStr">
        <is>
          <t>P02</t>
        </is>
      </c>
      <c r="C16" s="21" t="inlineStr">
        <is>
          <t>Academic design and delivery</t>
        </is>
      </c>
      <c r="D16" s="21" t="inlineStr">
        <is>
          <t>Assessment, examination and academic integrity</t>
        </is>
      </c>
      <c r="E16" s="21" t="inlineStr">
        <is>
          <t>NAAC C2; UGC plagiarism; NBA/DGT</t>
        </is>
      </c>
      <c r="F16" s="21" t="inlineStr">
        <is>
          <t>Mandatory/authoritative source mapping plus maturity benchmark</t>
        </is>
      </c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 ht="14.25" customHeight="1" s="35">
      <c r="A17" s="21" t="inlineStr">
        <is>
          <t>ACA-06</t>
        </is>
      </c>
      <c r="B17" s="21" t="inlineStr">
        <is>
          <t>P02</t>
        </is>
      </c>
      <c r="C17" s="21" t="inlineStr">
        <is>
          <t>Academic design and delivery</t>
        </is>
      </c>
      <c r="D17" s="21" t="inlineStr">
        <is>
          <t>Online, blended and digital learning quality</t>
        </is>
      </c>
      <c r="E17" s="21" t="inlineStr">
        <is>
          <t>UGC ODL/Online regulations; UNESCO</t>
        </is>
      </c>
      <c r="F17" s="21" t="inlineStr">
        <is>
          <t>Mandatory/authoritative source mapping plus maturity benchmark</t>
        </is>
      </c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14.25" customHeight="1" s="35">
      <c r="A18" s="21" t="inlineStr">
        <is>
          <t>ACA-07</t>
        </is>
      </c>
      <c r="B18" s="21" t="inlineStr">
        <is>
          <t>P02</t>
        </is>
      </c>
      <c r="C18" s="21" t="inlineStr">
        <is>
          <t>Academic design and delivery</t>
        </is>
      </c>
      <c r="D18" s="21" t="inlineStr">
        <is>
          <t>Academic administration and learner records</t>
        </is>
      </c>
      <c r="E18" s="21" t="inlineStr">
        <is>
          <t>UGC; NAAC; DGT</t>
        </is>
      </c>
      <c r="F18" s="21" t="inlineStr">
        <is>
          <t>Mandatory/authoritative source mapping plus maturity benchmark</t>
        </is>
      </c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 ht="14.25" customHeight="1" s="35">
      <c r="A19" s="21" t="inlineStr">
        <is>
          <t>PEO-01</t>
        </is>
      </c>
      <c r="B19" s="21" t="inlineStr">
        <is>
          <t>P03</t>
        </is>
      </c>
      <c r="C19" s="21" t="inlineStr">
        <is>
          <t>Faculty and workforce</t>
        </is>
      </c>
      <c r="D19" s="21" t="inlineStr">
        <is>
          <t>Faculty recruitment, qualification and deployment</t>
        </is>
      </c>
      <c r="E19" s="21" t="inlineStr">
        <is>
          <t>UGC; AICTE APH; NBA; DGT</t>
        </is>
      </c>
      <c r="F19" s="21" t="inlineStr">
        <is>
          <t>Mandatory/authoritative source mapping plus maturity benchmark</t>
        </is>
      </c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 ht="14.25" customHeight="1" s="35">
      <c r="A20" s="21" t="inlineStr">
        <is>
          <t>PEO-02</t>
        </is>
      </c>
      <c r="B20" s="21" t="inlineStr">
        <is>
          <t>P03</t>
        </is>
      </c>
      <c r="C20" s="21" t="inlineStr">
        <is>
          <t>Faculty and workforce</t>
        </is>
      </c>
      <c r="D20" s="21" t="inlineStr">
        <is>
          <t>Faculty development and professional practice</t>
        </is>
      </c>
      <c r="E20" s="21" t="inlineStr">
        <is>
          <t>UGC MMTTP; NAAC; NBA; UNESCO</t>
        </is>
      </c>
      <c r="F20" s="21" t="inlineStr">
        <is>
          <t>Mandatory/authoritative source mapping plus maturity benchmark</t>
        </is>
      </c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 ht="14.25" customHeight="1" s="35">
      <c r="A21" s="21" t="inlineStr">
        <is>
          <t>PEO-03</t>
        </is>
      </c>
      <c r="B21" s="21" t="inlineStr">
        <is>
          <t>P03</t>
        </is>
      </c>
      <c r="C21" s="21" t="inlineStr">
        <is>
          <t>Faculty and workforce</t>
        </is>
      </c>
      <c r="D21" s="21" t="inlineStr">
        <is>
          <t>Faculty AI and digital capability</t>
        </is>
      </c>
      <c r="E21" s="21" t="inlineStr">
        <is>
          <t>UNESCO teacher framework; InGage proposed</t>
        </is>
      </c>
      <c r="F21" s="21" t="inlineStr">
        <is>
          <t>Proposed InGage maturity benchmark</t>
        </is>
      </c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 ht="14.25" customHeight="1" s="35">
      <c r="A22" s="21" t="inlineStr">
        <is>
          <t>PEO-04</t>
        </is>
      </c>
      <c r="B22" s="21" t="inlineStr">
        <is>
          <t>P03</t>
        </is>
      </c>
      <c r="C22" s="21" t="inlineStr">
        <is>
          <t>Faculty and workforce</t>
        </is>
      </c>
      <c r="D22" s="21" t="inlineStr">
        <is>
          <t>Staff capability, wellbeing and workforce planning</t>
        </is>
      </c>
      <c r="E22" s="21" t="inlineStr">
        <is>
          <t>NAAC C6/C7; InGage proposed</t>
        </is>
      </c>
      <c r="F22" s="21" t="inlineStr">
        <is>
          <t>Proposed InGage maturity benchmark</t>
        </is>
      </c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 ht="14.25" customHeight="1" s="35">
      <c r="A23" s="21" t="inlineStr">
        <is>
          <t>STU-01</t>
        </is>
      </c>
      <c r="B23" s="21" t="inlineStr">
        <is>
          <t>P04</t>
        </is>
      </c>
      <c r="C23" s="21" t="inlineStr">
        <is>
          <t>Students, inclusion and success</t>
        </is>
      </c>
      <c r="D23" s="21" t="inlineStr">
        <is>
          <t>Admissions, access and student diversity</t>
        </is>
      </c>
      <c r="E23" s="21" t="inlineStr">
        <is>
          <t>NAAC C2; NIRF; UGC</t>
        </is>
      </c>
      <c r="F23" s="21" t="inlineStr">
        <is>
          <t>Mandatory/authoritative source mapping plus maturity benchmark</t>
        </is>
      </c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 ht="14.25" customHeight="1" s="35">
      <c r="A24" s="21" t="inlineStr">
        <is>
          <t>STU-02</t>
        </is>
      </c>
      <c r="B24" s="21" t="inlineStr">
        <is>
          <t>P04</t>
        </is>
      </c>
      <c r="C24" s="21" t="inlineStr">
        <is>
          <t>Students, inclusion and success</t>
        </is>
      </c>
      <c r="D24" s="21" t="inlineStr">
        <is>
          <t>Student support, mentoring and wellbeing</t>
        </is>
      </c>
      <c r="E24" s="21" t="inlineStr">
        <is>
          <t>NAAC C5; UGC</t>
        </is>
      </c>
      <c r="F24" s="21" t="inlineStr">
        <is>
          <t>Mandatory/authoritative source mapping plus maturity benchmark</t>
        </is>
      </c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 ht="14.25" customHeight="1" s="35">
      <c r="A25" s="21" t="inlineStr">
        <is>
          <t>STU-03</t>
        </is>
      </c>
      <c r="B25" s="21" t="inlineStr">
        <is>
          <t>P04</t>
        </is>
      </c>
      <c r="C25" s="21" t="inlineStr">
        <is>
          <t>Students, inclusion and success</t>
        </is>
      </c>
      <c r="D25" s="21" t="inlineStr">
        <is>
          <t>Equity, accessibility and inclusion</t>
        </is>
      </c>
      <c r="E25" s="21" t="inlineStr">
        <is>
          <t>UGC accessibility and SEDG guidance; NAAC</t>
        </is>
      </c>
      <c r="F25" s="21" t="inlineStr">
        <is>
          <t>Mandatory/authoritative source mapping plus maturity benchmark</t>
        </is>
      </c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 ht="14.25" customHeight="1" s="35">
      <c r="A26" s="21" t="inlineStr">
        <is>
          <t>STU-04</t>
        </is>
      </c>
      <c r="B26" s="21" t="inlineStr">
        <is>
          <t>P04</t>
        </is>
      </c>
      <c r="C26" s="21" t="inlineStr">
        <is>
          <t>Students, inclusion and success</t>
        </is>
      </c>
      <c r="D26" s="21" t="inlineStr">
        <is>
          <t>Student safety, grievance and protection</t>
        </is>
      </c>
      <c r="E26" s="21" t="inlineStr">
        <is>
          <t>UGC regulations/guidance; NAAC</t>
        </is>
      </c>
      <c r="F26" s="21" t="inlineStr">
        <is>
          <t>Mandatory/authoritative source mapping plus maturity benchmark</t>
        </is>
      </c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 ht="14.25" customHeight="1" s="35">
      <c r="A27" s="21" t="inlineStr">
        <is>
          <t>STU-05</t>
        </is>
      </c>
      <c r="B27" s="21" t="inlineStr">
        <is>
          <t>P04</t>
        </is>
      </c>
      <c r="C27" s="21" t="inlineStr">
        <is>
          <t>Students, inclusion and success</t>
        </is>
      </c>
      <c r="D27" s="21" t="inlineStr">
        <is>
          <t>Student AI literacy and agency</t>
        </is>
      </c>
      <c r="E27" s="21" t="inlineStr">
        <is>
          <t>UNESCO student framework; InGage proposed</t>
        </is>
      </c>
      <c r="F27" s="21" t="inlineStr">
        <is>
          <t>Proposed InGage maturity benchmark</t>
        </is>
      </c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 ht="14.25" customHeight="1" s="35">
      <c r="A28" s="21" t="inlineStr">
        <is>
          <t>STU-06</t>
        </is>
      </c>
      <c r="B28" s="21" t="inlineStr">
        <is>
          <t>P04</t>
        </is>
      </c>
      <c r="C28" s="21" t="inlineStr">
        <is>
          <t>Students, inclusion and success</t>
        </is>
      </c>
      <c r="D28" s="21" t="inlineStr">
        <is>
          <t>Progression, employability and alumni outcomes</t>
        </is>
      </c>
      <c r="E28" s="21" t="inlineStr">
        <is>
          <t>NAAC C5; NIRF; NBA; DGT</t>
        </is>
      </c>
      <c r="F28" s="21" t="inlineStr">
        <is>
          <t>Mandatory/authoritative source mapping plus maturity benchmark</t>
        </is>
      </c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 ht="14.25" customHeight="1" s="35">
      <c r="A29" s="21" t="inlineStr">
        <is>
          <t>RES-01</t>
        </is>
      </c>
      <c r="B29" s="21" t="inlineStr">
        <is>
          <t>P05</t>
        </is>
      </c>
      <c r="C29" s="21" t="inlineStr">
        <is>
          <t>Research, innovation and impact</t>
        </is>
      </c>
      <c r="D29" s="21" t="inlineStr">
        <is>
          <t>Research governance and ethical review</t>
        </is>
      </c>
      <c r="E29" s="21" t="inlineStr">
        <is>
          <t>UGC R&amp;D Cell guidance; NAAC C3</t>
        </is>
      </c>
      <c r="F29" s="21" t="inlineStr">
        <is>
          <t>Mandatory/authoritative source mapping plus maturity benchmark</t>
        </is>
      </c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 ht="14.25" customHeight="1" s="35">
      <c r="A30" s="21" t="inlineStr">
        <is>
          <t>RES-02</t>
        </is>
      </c>
      <c r="B30" s="21" t="inlineStr">
        <is>
          <t>P05</t>
        </is>
      </c>
      <c r="C30" s="21" t="inlineStr">
        <is>
          <t>Research, innovation and impact</t>
        </is>
      </c>
      <c r="D30" s="21" t="inlineStr">
        <is>
          <t>Research productivity, quality and impact</t>
        </is>
      </c>
      <c r="E30" s="21" t="inlineStr">
        <is>
          <t>NAAC C3; NIRF; NBA</t>
        </is>
      </c>
      <c r="F30" s="21" t="inlineStr">
        <is>
          <t>Mandatory/authoritative source mapping plus maturity benchmark</t>
        </is>
      </c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 ht="14.25" customHeight="1" s="35">
      <c r="A31" s="21" t="inlineStr">
        <is>
          <t>RES-03</t>
        </is>
      </c>
      <c r="B31" s="21" t="inlineStr">
        <is>
          <t>P05</t>
        </is>
      </c>
      <c r="C31" s="21" t="inlineStr">
        <is>
          <t>Research, innovation and impact</t>
        </is>
      </c>
      <c r="D31" s="21" t="inlineStr">
        <is>
          <t>Research integrity, IP and knowledge transfer</t>
        </is>
      </c>
      <c r="E31" s="21" t="inlineStr">
        <is>
          <t>UGC plagiarism; NAAC; NIRF</t>
        </is>
      </c>
      <c r="F31" s="21" t="inlineStr">
        <is>
          <t>Mandatory/authoritative source mapping plus maturity benchmark</t>
        </is>
      </c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 ht="14.25" customHeight="1" s="35">
      <c r="A32" s="21" t="inlineStr">
        <is>
          <t>RES-04</t>
        </is>
      </c>
      <c r="B32" s="21" t="inlineStr">
        <is>
          <t>P05</t>
        </is>
      </c>
      <c r="C32" s="21" t="inlineStr">
        <is>
          <t>Research, innovation and impact</t>
        </is>
      </c>
      <c r="D32" s="21" t="inlineStr">
        <is>
          <t>Industry partnership, internships and practice</t>
        </is>
      </c>
      <c r="E32" s="21" t="inlineStr">
        <is>
          <t>UGC industry linkage; NAAC; NBA; DGT</t>
        </is>
      </c>
      <c r="F32" s="21" t="inlineStr">
        <is>
          <t>Mandatory/authoritative source mapping plus maturity benchmark</t>
        </is>
      </c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 ht="14.25" customHeight="1" s="35">
      <c r="A33" s="21" t="inlineStr">
        <is>
          <t>RES-05</t>
        </is>
      </c>
      <c r="B33" s="21" t="inlineStr">
        <is>
          <t>P05</t>
        </is>
      </c>
      <c r="C33" s="21" t="inlineStr">
        <is>
          <t>Research, innovation and impact</t>
        </is>
      </c>
      <c r="D33" s="21" t="inlineStr">
        <is>
          <t>Entrepreneurship, incubation and startup support</t>
        </is>
      </c>
      <c r="E33" s="21" t="inlineStr">
        <is>
          <t>NIRF Innovation; NAAC; AICTE</t>
        </is>
      </c>
      <c r="F33" s="21" t="inlineStr">
        <is>
          <t>Mandatory/authoritative source mapping plus maturity benchmark</t>
        </is>
      </c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</row>
    <row r="34" ht="14.25" customHeight="1" s="35">
      <c r="A34" s="21" t="inlineStr">
        <is>
          <t>RES-06</t>
        </is>
      </c>
      <c r="B34" s="21" t="inlineStr">
        <is>
          <t>P05</t>
        </is>
      </c>
      <c r="C34" s="21" t="inlineStr">
        <is>
          <t>Research, innovation and impact</t>
        </is>
      </c>
      <c r="D34" s="21" t="inlineStr">
        <is>
          <t>Community engagement and societal impact</t>
        </is>
      </c>
      <c r="E34" s="21" t="inlineStr">
        <is>
          <t>NAAC C3; UGC community engagement guidance</t>
        </is>
      </c>
      <c r="F34" s="21" t="inlineStr">
        <is>
          <t>Mandatory/authoritative source mapping plus maturity benchmark</t>
        </is>
      </c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</row>
    <row r="35" ht="14.25" customHeight="1" s="35">
      <c r="A35" s="21" t="inlineStr">
        <is>
          <t>OPS-01</t>
        </is>
      </c>
      <c r="B35" s="21" t="inlineStr">
        <is>
          <t>P06</t>
        </is>
      </c>
      <c r="C35" s="21" t="inlineStr">
        <is>
          <t>Physical infrastructure and operations</t>
        </is>
      </c>
      <c r="D35" s="21" t="inlineStr">
        <is>
          <t>Campus, classroom, laboratory and library readiness</t>
        </is>
      </c>
      <c r="E35" s="21" t="inlineStr">
        <is>
          <t>NAAC C4; AICTE APH; NBA; DGT</t>
        </is>
      </c>
      <c r="F35" s="21" t="inlineStr">
        <is>
          <t>Mandatory/authoritative source mapping plus maturity benchmark</t>
        </is>
      </c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</row>
    <row r="36" ht="14.25" customHeight="1" s="35">
      <c r="A36" s="21" t="inlineStr">
        <is>
          <t>OPS-02</t>
        </is>
      </c>
      <c r="B36" s="21" t="inlineStr">
        <is>
          <t>P06</t>
        </is>
      </c>
      <c r="C36" s="21" t="inlineStr">
        <is>
          <t>Physical infrastructure and operations</t>
        </is>
      </c>
      <c r="D36" s="21" t="inlineStr">
        <is>
          <t>Accessibility, universal design and assistive technology</t>
        </is>
      </c>
      <c r="E36" s="21" t="inlineStr">
        <is>
          <t>UGC accessibility guidance; RPwD context</t>
        </is>
      </c>
      <c r="F36" s="21" t="inlineStr">
        <is>
          <t>Mandatory/authoritative source mapping plus maturity benchmark</t>
        </is>
      </c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</row>
    <row r="37" ht="14.25" customHeight="1" s="35">
      <c r="A37" s="21" t="inlineStr">
        <is>
          <t>OPS-03</t>
        </is>
      </c>
      <c r="B37" s="21" t="inlineStr">
        <is>
          <t>P06</t>
        </is>
      </c>
      <c r="C37" s="21" t="inlineStr">
        <is>
          <t>Physical infrastructure and operations</t>
        </is>
      </c>
      <c r="D37" s="21" t="inlineStr">
        <is>
          <t>Procurement, vendor and asset lifecycle</t>
        </is>
      </c>
      <c r="E37" s="21" t="inlineStr">
        <is>
          <t>InGage proposed; public procurement context</t>
        </is>
      </c>
      <c r="F37" s="21" t="inlineStr">
        <is>
          <t>Proposed InGage maturity benchmark</t>
        </is>
      </c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</row>
    <row r="38" ht="14.25" customHeight="1" s="35">
      <c r="A38" s="21" t="inlineStr">
        <is>
          <t>OPS-04</t>
        </is>
      </c>
      <c r="B38" s="21" t="inlineStr">
        <is>
          <t>P06</t>
        </is>
      </c>
      <c r="C38" s="21" t="inlineStr">
        <is>
          <t>Physical infrastructure and operations</t>
        </is>
      </c>
      <c r="D38" s="21" t="inlineStr">
        <is>
          <t>Business continuity, disaster recovery and emergency preparedness</t>
        </is>
      </c>
      <c r="E38" s="21" t="inlineStr">
        <is>
          <t>InGage proposed; CERT-In context</t>
        </is>
      </c>
      <c r="F38" s="21" t="inlineStr">
        <is>
          <t>Proposed InGage maturity benchmark</t>
        </is>
      </c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</row>
    <row r="39" ht="14.25" customHeight="1" s="35">
      <c r="A39" s="21" t="inlineStr">
        <is>
          <t>OPS-05</t>
        </is>
      </c>
      <c r="B39" s="21" t="inlineStr">
        <is>
          <t>P06</t>
        </is>
      </c>
      <c r="C39" s="21" t="inlineStr">
        <is>
          <t>Physical infrastructure and operations</t>
        </is>
      </c>
      <c r="D39" s="21" t="inlineStr">
        <is>
          <t>Service operations and stakeholder experience</t>
        </is>
      </c>
      <c r="E39" s="21" t="inlineStr">
        <is>
          <t>InGage proposed</t>
        </is>
      </c>
      <c r="F39" s="21" t="inlineStr">
        <is>
          <t>Proposed InGage maturity benchmark</t>
        </is>
      </c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</row>
    <row r="40" ht="14.25" customHeight="1" s="35">
      <c r="A40" s="21" t="inlineStr">
        <is>
          <t>DIG-01</t>
        </is>
      </c>
      <c r="B40" s="21" t="inlineStr">
        <is>
          <t>P07</t>
        </is>
      </c>
      <c r="C40" s="21" t="inlineStr">
        <is>
          <t>Digital foundation</t>
        </is>
      </c>
      <c r="D40" s="21" t="inlineStr">
        <is>
          <t>Digital strategy, enterprise architecture and interoperability</t>
        </is>
      </c>
      <c r="E40" s="21" t="inlineStr">
        <is>
          <t>InGage proposed; Digital India context</t>
        </is>
      </c>
      <c r="F40" s="21" t="inlineStr">
        <is>
          <t>Proposed InGage maturity benchmark</t>
        </is>
      </c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</row>
    <row r="41" ht="14.25" customHeight="1" s="35">
      <c r="A41" s="21" t="inlineStr">
        <is>
          <t>DIG-02</t>
        </is>
      </c>
      <c r="B41" s="21" t="inlineStr">
        <is>
          <t>P07</t>
        </is>
      </c>
      <c r="C41" s="21" t="inlineStr">
        <is>
          <t>Digital foundation</t>
        </is>
      </c>
      <c r="D41" s="21" t="inlineStr">
        <is>
          <t>Connectivity, cloud, platforms and end-user services</t>
        </is>
      </c>
      <c r="E41" s="21" t="inlineStr">
        <is>
          <t>AICTE/DGT context; InGage proposed</t>
        </is>
      </c>
      <c r="F41" s="21" t="inlineStr">
        <is>
          <t>Proposed InGage maturity benchmark</t>
        </is>
      </c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</row>
    <row r="42" ht="14.25" customHeight="1" s="35">
      <c r="A42" s="21" t="inlineStr">
        <is>
          <t>DIG-03</t>
        </is>
      </c>
      <c r="B42" s="21" t="inlineStr">
        <is>
          <t>P07</t>
        </is>
      </c>
      <c r="C42" s="21" t="inlineStr">
        <is>
          <t>Digital foundation</t>
        </is>
      </c>
      <c r="D42" s="21" t="inlineStr">
        <is>
          <t>Data governance, privacy and consent</t>
        </is>
      </c>
      <c r="E42" s="21" t="inlineStr">
        <is>
          <t>DPDP Act/Rules; InGage proposed</t>
        </is>
      </c>
      <c r="F42" s="21" t="inlineStr">
        <is>
          <t>Proposed InGage maturity benchmark</t>
        </is>
      </c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 ht="14.25" customHeight="1" s="35">
      <c r="A43" s="21" t="inlineStr">
        <is>
          <t>DIG-04</t>
        </is>
      </c>
      <c r="B43" s="21" t="inlineStr">
        <is>
          <t>P07</t>
        </is>
      </c>
      <c r="C43" s="21" t="inlineStr">
        <is>
          <t>Digital foundation</t>
        </is>
      </c>
      <c r="D43" s="21" t="inlineStr">
        <is>
          <t>Cybersecurity, security operations and resilience</t>
        </is>
      </c>
      <c r="E43" s="21" t="inlineStr">
        <is>
          <t>CERT-In Directions; InGage proposed</t>
        </is>
      </c>
      <c r="F43" s="21" t="inlineStr">
        <is>
          <t>Proposed InGage maturity benchmark</t>
        </is>
      </c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 ht="14.25" customHeight="1" s="35">
      <c r="A44" s="21" t="inlineStr">
        <is>
          <t>DIG-05</t>
        </is>
      </c>
      <c r="B44" s="21" t="inlineStr">
        <is>
          <t>P07</t>
        </is>
      </c>
      <c r="C44" s="21" t="inlineStr">
        <is>
          <t>Digital foundation</t>
        </is>
      </c>
      <c r="D44" s="21" t="inlineStr">
        <is>
          <t>Digital accessibility and inclusive user experience</t>
        </is>
      </c>
      <c r="E44" s="21" t="inlineStr">
        <is>
          <t>UGC accessibility guidance; WCAG as guidance</t>
        </is>
      </c>
      <c r="F44" s="21" t="inlineStr">
        <is>
          <t>Mandatory/authoritative source mapping plus maturity benchmark</t>
        </is>
      </c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4.25" customHeight="1" s="35">
      <c r="A45" s="21" t="inlineStr">
        <is>
          <t>DIG-06</t>
        </is>
      </c>
      <c r="B45" s="21" t="inlineStr">
        <is>
          <t>P07</t>
        </is>
      </c>
      <c r="C45" s="21" t="inlineStr">
        <is>
          <t>Digital foundation</t>
        </is>
      </c>
      <c r="D45" s="21" t="inlineStr">
        <is>
          <t>Digital records, analytics and decision intelligence</t>
        </is>
      </c>
      <c r="E45" s="21" t="inlineStr">
        <is>
          <t>NIRF/NAAC data context; InGage proposed</t>
        </is>
      </c>
      <c r="F45" s="21" t="inlineStr">
        <is>
          <t>Proposed InGage maturity benchmark</t>
        </is>
      </c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4.25" customHeight="1" s="35">
      <c r="A46" s="21" t="inlineStr">
        <is>
          <t>AI-01</t>
        </is>
      </c>
      <c r="B46" s="21" t="inlineStr">
        <is>
          <t>P08</t>
        </is>
      </c>
      <c r="C46" s="21" t="inlineStr">
        <is>
          <t>AI transformation</t>
        </is>
      </c>
      <c r="D46" s="21" t="inlineStr">
        <is>
          <t>AI strategy, governance and portfolio</t>
        </is>
      </c>
      <c r="E46" s="21" t="inlineStr">
        <is>
          <t>NIST AI RMF; ISO/IEC 42001; IndiaAI; InGage proposed</t>
        </is>
      </c>
      <c r="F46" s="21" t="inlineStr">
        <is>
          <t>Proposed InGage maturity benchmark</t>
        </is>
      </c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4.25" customHeight="1" s="35">
      <c r="A47" s="21" t="inlineStr">
        <is>
          <t>AI-02</t>
        </is>
      </c>
      <c r="B47" s="21" t="inlineStr">
        <is>
          <t>P08</t>
        </is>
      </c>
      <c r="C47" s="21" t="inlineStr">
        <is>
          <t>AI transformation</t>
        </is>
      </c>
      <c r="D47" s="21" t="inlineStr">
        <is>
          <t>Responsible AI, ethics and human oversight</t>
        </is>
      </c>
      <c r="E47" s="21" t="inlineStr">
        <is>
          <t>NIST AI RMF; ISO/IEC 42001/42005; UNESCO</t>
        </is>
      </c>
      <c r="F47" s="21" t="inlineStr">
        <is>
          <t>Guidance-backed maturity benchmark</t>
        </is>
      </c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4.25" customHeight="1" s="35">
      <c r="A48" s="21" t="inlineStr">
        <is>
          <t>AI-03</t>
        </is>
      </c>
      <c r="B48" s="21" t="inlineStr">
        <is>
          <t>P08</t>
        </is>
      </c>
      <c r="C48" s="21" t="inlineStr">
        <is>
          <t>AI transformation</t>
        </is>
      </c>
      <c r="D48" s="21" t="inlineStr">
        <is>
          <t>AI data, model and supplier governance</t>
        </is>
      </c>
      <c r="E48" s="21" t="inlineStr">
        <is>
          <t>NIST AI RMF; ISO/IEC 42001; InGage proposed</t>
        </is>
      </c>
      <c r="F48" s="21" t="inlineStr">
        <is>
          <t>Proposed InGage maturity benchmark</t>
        </is>
      </c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 ht="14.25" customHeight="1" s="35">
      <c r="A49" s="21" t="inlineStr">
        <is>
          <t>AI-04</t>
        </is>
      </c>
      <c r="B49" s="21" t="inlineStr">
        <is>
          <t>P08</t>
        </is>
      </c>
      <c r="C49" s="21" t="inlineStr">
        <is>
          <t>AI transformation</t>
        </is>
      </c>
      <c r="D49" s="21" t="inlineStr">
        <is>
          <t>AI security, safety and adversarial resilience</t>
        </is>
      </c>
      <c r="E49" s="21" t="inlineStr">
        <is>
          <t>NIST AI RMF/GenAI Profile; CERT-In; InGage proposed</t>
        </is>
      </c>
      <c r="F49" s="21" t="inlineStr">
        <is>
          <t>Proposed InGage maturity benchmark</t>
        </is>
      </c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 ht="14.25" customHeight="1" s="35">
      <c r="A50" s="21" t="inlineStr">
        <is>
          <t>AI-05</t>
        </is>
      </c>
      <c r="B50" s="21" t="inlineStr">
        <is>
          <t>P08</t>
        </is>
      </c>
      <c r="C50" s="21" t="inlineStr">
        <is>
          <t>AI transformation</t>
        </is>
      </c>
      <c r="D50" s="21" t="inlineStr">
        <is>
          <t>AI-enabled teaching, learning and learner support</t>
        </is>
      </c>
      <c r="E50" s="21" t="inlineStr">
        <is>
          <t>UNESCO GenAI guidance; InGage proposed</t>
        </is>
      </c>
      <c r="F50" s="21" t="inlineStr">
        <is>
          <t>Proposed InGage maturity benchmark</t>
        </is>
      </c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 ht="14.25" customHeight="1" s="35">
      <c r="A51" s="21" t="inlineStr">
        <is>
          <t>AI-06</t>
        </is>
      </c>
      <c r="B51" s="21" t="inlineStr">
        <is>
          <t>P08</t>
        </is>
      </c>
      <c r="C51" s="21" t="inlineStr">
        <is>
          <t>AI transformation</t>
        </is>
      </c>
      <c r="D51" s="21" t="inlineStr">
        <is>
          <t>AI-aware assessment and integrity assurance</t>
        </is>
      </c>
      <c r="E51" s="21" t="inlineStr">
        <is>
          <t>UGC plagiarism; UNESCO GenAI guidance; InGage proposed</t>
        </is>
      </c>
      <c r="F51" s="21" t="inlineStr">
        <is>
          <t>Proposed InGage maturity benchmark</t>
        </is>
      </c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 ht="14.25" customHeight="1" s="35">
      <c r="A52" s="21" t="inlineStr">
        <is>
          <t>AI-07</t>
        </is>
      </c>
      <c r="B52" s="21" t="inlineStr">
        <is>
          <t>P08</t>
        </is>
      </c>
      <c r="C52" s="21" t="inlineStr">
        <is>
          <t>AI transformation</t>
        </is>
      </c>
      <c r="D52" s="21" t="inlineStr">
        <is>
          <t>AI research, experimentation and innovation</t>
        </is>
      </c>
      <c r="E52" s="21" t="inlineStr">
        <is>
          <t>UGC R&amp;D guidance; NIST; IndiaAI</t>
        </is>
      </c>
      <c r="F52" s="21" t="inlineStr">
        <is>
          <t>Mandatory/authoritative source mapping plus maturity benchmark</t>
        </is>
      </c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 ht="14.25" customHeight="1" s="35">
      <c r="A53" s="21" t="inlineStr">
        <is>
          <t>AI-08</t>
        </is>
      </c>
      <c r="B53" s="21" t="inlineStr">
        <is>
          <t>P08</t>
        </is>
      </c>
      <c r="C53" s="21" t="inlineStr">
        <is>
          <t>AI transformation</t>
        </is>
      </c>
      <c r="D53" s="21" t="inlineStr">
        <is>
          <t>AI platforms, MLOps and operations</t>
        </is>
      </c>
      <c r="E53" s="21" t="inlineStr">
        <is>
          <t>ISO/IEC 42001; NIST; InGage proposed</t>
        </is>
      </c>
      <c r="F53" s="21" t="inlineStr">
        <is>
          <t>Proposed InGage maturity benchmark</t>
        </is>
      </c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 ht="14.25" customHeight="1" s="35">
      <c r="A54" s="21" t="inlineStr">
        <is>
          <t>EMT-01</t>
        </is>
      </c>
      <c r="B54" s="21" t="inlineStr">
        <is>
          <t>P09</t>
        </is>
      </c>
      <c r="C54" s="21" t="inlineStr">
        <is>
          <t>Emerging technology readiness</t>
        </is>
      </c>
      <c r="D54" s="21" t="inlineStr">
        <is>
          <t>XR, spatial computing and immersive learning</t>
        </is>
      </c>
      <c r="E54" s="21" t="inlineStr">
        <is>
          <t>InGage proposed; UNESCO/AICTE context</t>
        </is>
      </c>
      <c r="F54" s="21" t="inlineStr">
        <is>
          <t>Proposed InGage maturity benchmark</t>
        </is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 ht="14.25" customHeight="1" s="35">
      <c r="A55" s="21" t="inlineStr">
        <is>
          <t>EMT-02</t>
        </is>
      </c>
      <c r="B55" s="21" t="inlineStr">
        <is>
          <t>P09</t>
        </is>
      </c>
      <c r="C55" s="21" t="inlineStr">
        <is>
          <t>Emerging technology readiness</t>
        </is>
      </c>
      <c r="D55" s="21" t="inlineStr">
        <is>
          <t>Robotics, IoT and intelligent automation</t>
        </is>
      </c>
      <c r="E55" s="21" t="inlineStr">
        <is>
          <t>AICTE/DGT/NBA context; InGage proposed</t>
        </is>
      </c>
      <c r="F55" s="21" t="inlineStr">
        <is>
          <t>Proposed InGage maturity benchmark</t>
        </is>
      </c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 ht="14.25" customHeight="1" s="35">
      <c r="A56" s="21" t="inlineStr">
        <is>
          <t>EMT-03</t>
        </is>
      </c>
      <c r="B56" s="21" t="inlineStr">
        <is>
          <t>P09</t>
        </is>
      </c>
      <c r="C56" s="21" t="inlineStr">
        <is>
          <t>Emerging technology readiness</t>
        </is>
      </c>
      <c r="D56" s="21" t="inlineStr">
        <is>
          <t>Digital twins, simulation and virtual laboratories</t>
        </is>
      </c>
      <c r="E56" s="21" t="inlineStr">
        <is>
          <t>AICTE/NBA context; InGage proposed</t>
        </is>
      </c>
      <c r="F56" s="21" t="inlineStr">
        <is>
          <t>Proposed InGage maturity benchmark</t>
        </is>
      </c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4.25" customHeight="1" s="35">
      <c r="A57" s="21" t="inlineStr">
        <is>
          <t>EMT-04</t>
        </is>
      </c>
      <c r="B57" s="21" t="inlineStr">
        <is>
          <t>P09</t>
        </is>
      </c>
      <c r="C57" s="21" t="inlineStr">
        <is>
          <t>Emerging technology readiness</t>
        </is>
      </c>
      <c r="D57" s="21" t="inlineStr">
        <is>
          <t>Blockchain, verifiable credentials and digital trust</t>
        </is>
      </c>
      <c r="E57" s="21" t="inlineStr">
        <is>
          <t>UGC/NAD/ABC context; InGage proposed</t>
        </is>
      </c>
      <c r="F57" s="21" t="inlineStr">
        <is>
          <t>Proposed InGage maturity benchmark</t>
        </is>
      </c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 ht="14.25" customHeight="1" s="35">
      <c r="A58" s="21" t="inlineStr">
        <is>
          <t>EMT-05</t>
        </is>
      </c>
      <c r="B58" s="21" t="inlineStr">
        <is>
          <t>P09</t>
        </is>
      </c>
      <c r="C58" s="21" t="inlineStr">
        <is>
          <t>Emerging technology readiness</t>
        </is>
      </c>
      <c r="D58" s="21" t="inlineStr">
        <is>
          <t>Quantum readiness and advanced computing</t>
        </is>
      </c>
      <c r="E58" s="21" t="inlineStr">
        <is>
          <t>National Quantum Mission context; InGage proposed</t>
        </is>
      </c>
      <c r="F58" s="21" t="inlineStr">
        <is>
          <t>Proposed InGage maturity benchmark</t>
        </is>
      </c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 ht="14.25" customHeight="1" s="35">
      <c r="A59" s="21" t="inlineStr">
        <is>
          <t>EMT-06</t>
        </is>
      </c>
      <c r="B59" s="21" t="inlineStr">
        <is>
          <t>P09</t>
        </is>
      </c>
      <c r="C59" s="21" t="inlineStr">
        <is>
          <t>Emerging technology readiness</t>
        </is>
      </c>
      <c r="D59" s="21" t="inlineStr">
        <is>
          <t>AI agents, workflow automation and digital labour</t>
        </is>
      </c>
      <c r="E59" s="21" t="inlineStr">
        <is>
          <t>NIST; ISO/IEC; InGage proposed</t>
        </is>
      </c>
      <c r="F59" s="21" t="inlineStr">
        <is>
          <t>Proposed InGage maturity benchmark</t>
        </is>
      </c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 ht="14.25" customHeight="1" s="35">
      <c r="A60" s="21" t="inlineStr">
        <is>
          <t>SUS-01</t>
        </is>
      </c>
      <c r="B60" s="21" t="inlineStr">
        <is>
          <t>P10</t>
        </is>
      </c>
      <c r="C60" s="21" t="inlineStr">
        <is>
          <t>Sustainability and social responsibility</t>
        </is>
      </c>
      <c r="D60" s="21" t="inlineStr">
        <is>
          <t>Environmental management and campus sustainability</t>
        </is>
      </c>
      <c r="E60" s="21" t="inlineStr">
        <is>
          <t>NAAC C7; NIRF Sustainable Institution</t>
        </is>
      </c>
      <c r="F60" s="21" t="inlineStr">
        <is>
          <t>Mandatory/authoritative source mapping plus maturity benchmark</t>
        </is>
      </c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 ht="14.25" customHeight="1" s="35">
      <c r="A61" s="21" t="inlineStr">
        <is>
          <t>SUS-02</t>
        </is>
      </c>
      <c r="B61" s="21" t="inlineStr">
        <is>
          <t>P10</t>
        </is>
      </c>
      <c r="C61" s="21" t="inlineStr">
        <is>
          <t>Sustainability and social responsibility</t>
        </is>
      </c>
      <c r="D61" s="21" t="inlineStr">
        <is>
          <t>Green IT, responsible compute and e-waste</t>
        </is>
      </c>
      <c r="E61" s="21" t="inlineStr">
        <is>
          <t>InGage proposed; environmental context</t>
        </is>
      </c>
      <c r="F61" s="21" t="inlineStr">
        <is>
          <t>Proposed InGage maturity benchmark</t>
        </is>
      </c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 ht="14.25" customHeight="1" s="35">
      <c r="A62" s="21" t="inlineStr">
        <is>
          <t>SUS-03</t>
        </is>
      </c>
      <c r="B62" s="21" t="inlineStr">
        <is>
          <t>P10</t>
        </is>
      </c>
      <c r="C62" s="21" t="inlineStr">
        <is>
          <t>Sustainability and social responsibility</t>
        </is>
      </c>
      <c r="D62" s="21" t="inlineStr">
        <is>
          <t>Ethics, values and responsible citizenship</t>
        </is>
      </c>
      <c r="E62" s="21" t="inlineStr">
        <is>
          <t>NAAC C7; NEP 2020</t>
        </is>
      </c>
      <c r="F62" s="21" t="inlineStr">
        <is>
          <t>Mandatory/authoritative source mapping plus maturity benchmark</t>
        </is>
      </c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 ht="14.25" customHeight="1" s="35">
      <c r="A63" s="21" t="inlineStr">
        <is>
          <t>SUS-04</t>
        </is>
      </c>
      <c r="B63" s="21" t="inlineStr">
        <is>
          <t>P10</t>
        </is>
      </c>
      <c r="C63" s="21" t="inlineStr">
        <is>
          <t>Sustainability and social responsibility</t>
        </is>
      </c>
      <c r="D63" s="21" t="inlineStr">
        <is>
          <t>Climate resilience and institutional resilience</t>
        </is>
      </c>
      <c r="E63" s="21" t="inlineStr">
        <is>
          <t>InGage proposed</t>
        </is>
      </c>
      <c r="F63" s="21" t="inlineStr">
        <is>
          <t>Proposed InGage maturity benchmark</t>
        </is>
      </c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 ht="14.25" customHeight="1" s="35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 ht="14.25" customHeight="1" s="35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 ht="14.25" customHeight="1" s="35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4.25" customHeight="1" s="35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 ht="14.25" customHeight="1" s="35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 ht="14.25" customHeight="1" s="35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 ht="14.25" customHeight="1" s="35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 ht="14.25" customHeight="1" s="35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 ht="14.25" customHeight="1" s="35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 ht="14.25" customHeight="1" s="35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 ht="14.25" customHeight="1" s="35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 ht="14.25" customHeight="1" s="35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4.25" customHeight="1" s="35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 ht="14.25" customHeight="1" s="35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 ht="14.25" customHeight="1" s="35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 ht="14.25" customHeight="1" s="35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 ht="14.25" customHeight="1" s="35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 ht="14.25" customHeight="1" s="35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 ht="14.25" customHeight="1" s="35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 ht="14.25" customHeight="1" s="35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 ht="14.25" customHeight="1" s="35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 ht="14.25" customHeight="1" s="35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 ht="14.25" customHeight="1" s="35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 ht="14.25" customHeight="1" s="35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4.25" customHeight="1" s="35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 ht="14.25" customHeight="1" s="35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 ht="14.25" customHeight="1" s="35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 ht="14.25" customHeight="1" s="35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 ht="14.25" customHeight="1" s="35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 ht="14.25" customHeight="1" s="35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 ht="14.25" customHeight="1" s="35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 ht="14.25" customHeight="1" s="3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 ht="14.25" customHeight="1" s="35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 ht="14.25" customHeight="1" s="35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 ht="14.25" customHeight="1" s="35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 ht="14.25" customHeight="1" s="35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4.25" customHeight="1" s="35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 ht="14.25" customHeight="1" s="35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 ht="14.25" customHeight="1" s="35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 ht="14.25" customHeight="1" s="35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 ht="14.25" customHeight="1" s="35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 ht="14.25" customHeight="1" s="35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 ht="14.25" customHeight="1" s="35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 ht="14.25" customHeight="1" s="35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 ht="14.25" customHeight="1" s="35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4.25" customHeight="1" s="35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 ht="14.25" customHeight="1" s="35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 ht="14.25" customHeight="1" s="35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 ht="14.25" customHeight="1" s="35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 ht="14.25" customHeight="1" s="35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 ht="14.25" customHeight="1" s="35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 ht="14.25" customHeight="1" s="35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 ht="14.25" customHeight="1" s="35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 ht="14.25" customHeight="1" s="35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 ht="14.25" customHeight="1" s="35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 ht="14.25" customHeight="1" s="35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 ht="14.25" customHeight="1" s="35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 ht="14.25" customHeight="1" s="35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 ht="14.25" customHeight="1" s="35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 ht="14.25" customHeight="1" s="35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 ht="14.25" customHeight="1" s="35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 ht="14.25" customHeight="1" s="35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 ht="14.25" customHeight="1" s="35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 ht="14.25" customHeight="1" s="35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 ht="14.25" customHeight="1" s="35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 ht="14.25" customHeight="1" s="35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 ht="14.25" customHeight="1" s="35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 ht="14.25" customHeight="1" s="35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 ht="14.25" customHeight="1" s="35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 ht="14.25" customHeight="1" s="35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 ht="14.25" customHeight="1" s="35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 ht="14.25" customHeight="1" s="35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4.25" customHeight="1" s="35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 ht="14.25" customHeight="1" s="35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 ht="14.25" customHeight="1" s="35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 ht="14.25" customHeight="1" s="35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 ht="14.25" customHeight="1" s="35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 ht="14.25" customHeight="1" s="35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 ht="14.25" customHeight="1" s="35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 ht="14.25" customHeight="1" s="35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 ht="14.25" customHeight="1" s="35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 ht="14.25" customHeight="1" s="35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 ht="14.25" customHeight="1" s="35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 ht="14.25" customHeight="1" s="35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 ht="14.25" customHeight="1" s="35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4.25" customHeight="1" s="35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 ht="14.25" customHeight="1" s="35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 ht="14.25" customHeight="1" s="35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 ht="14.25" customHeight="1" s="35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 ht="14.25" customHeight="1" s="35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 ht="14.25" customHeight="1" s="35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 ht="14.25" customHeight="1" s="35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 ht="14.25" customHeight="1" s="35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 ht="14.25" customHeight="1" s="35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 ht="14.25" customHeight="1" s="35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 ht="14.25" customHeight="1" s="35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 ht="14.25" customHeight="1" s="35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 ht="14.25" customHeight="1" s="35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4.25" customHeight="1" s="35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 ht="14.25" customHeight="1" s="35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 ht="14.25" customHeight="1" s="35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 ht="14.25" customHeight="1" s="35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 ht="14.25" customHeight="1" s="35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 ht="14.25" customHeight="1" s="35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 ht="14.25" customHeight="1" s="35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 ht="14.25" customHeight="1" s="35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 ht="14.25" customHeight="1" s="35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 ht="14.25" customHeight="1" s="35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 ht="14.25" customHeight="1" s="35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 ht="14.25" customHeight="1" s="35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 ht="14.25" customHeight="1" s="35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 ht="14.25" customHeight="1" s="35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 ht="14.25" customHeight="1" s="35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 ht="14.25" customHeight="1" s="35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 ht="14.25" customHeight="1" s="35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 ht="14.25" customHeight="1" s="35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 ht="14.25" customHeight="1" s="35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 ht="14.25" customHeight="1" s="35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 ht="14.25" customHeight="1" s="35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 ht="14.25" customHeight="1" s="35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 ht="14.25" customHeight="1" s="35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 ht="14.25" customHeight="1" s="35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 ht="14.25" customHeight="1" s="35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 ht="14.25" customHeight="1" s="35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 ht="14.25" customHeight="1" s="35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 ht="14.25" customHeight="1" s="35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 ht="14.25" customHeight="1" s="35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 ht="14.25" customHeight="1" s="35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 ht="14.25" customHeight="1" s="35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 ht="14.25" customHeight="1" s="35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 ht="14.25" customHeight="1" s="35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 ht="14.25" customHeight="1" s="35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 ht="14.25" customHeight="1" s="35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 ht="14.25" customHeight="1" s="35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 ht="14.25" customHeight="1" s="35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 ht="14.25" customHeight="1" s="35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 ht="14.25" customHeight="1" s="35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 ht="14.25" customHeight="1" s="35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 ht="14.25" customHeight="1" s="35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4.25" customHeight="1" s="35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 ht="14.25" customHeight="1" s="35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 ht="14.25" customHeight="1" s="35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 ht="14.25" customHeight="1" s="35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 ht="14.25" customHeight="1" s="35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 ht="14.25" customHeight="1" s="35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 ht="14.25" customHeight="1" s="35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 ht="14.25" customHeight="1" s="35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 ht="14.25" customHeight="1" s="35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 ht="14.25" customHeight="1" s="35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 ht="14.25" customHeight="1" s="35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 ht="14.25" customHeight="1" s="35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 ht="14.25" customHeight="1" s="35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 ht="14.25" customHeight="1" s="35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 ht="14.25" customHeight="1" s="35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 ht="14.25" customHeight="1" s="35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 ht="14.25" customHeight="1" s="35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 ht="14.25" customHeight="1" s="35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 ht="14.25" customHeight="1" s="35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 ht="14.25" customHeight="1" s="35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 ht="14.25" customHeight="1" s="35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 ht="14.25" customHeight="1" s="35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 ht="14.25" customHeight="1" s="35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 ht="14.25" customHeight="1" s="35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 ht="14.25" customHeight="1" s="35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 ht="14.25" customHeight="1" s="35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 ht="14.25" customHeight="1" s="35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 ht="14.25" customHeight="1" s="35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 ht="14.25" customHeight="1" s="35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 ht="14.25" customHeight="1" s="35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 ht="14.25" customHeight="1" s="35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 ht="14.25" customHeight="1" s="35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 ht="14.25" customHeight="1" s="35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 ht="14.25" customHeight="1" s="35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 ht="14.25" customHeight="1" s="35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 ht="14.25" customHeight="1" s="35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 ht="14.25" customHeight="1" s="35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 ht="14.25" customHeight="1" s="35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 ht="14.25" customHeight="1" s="35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 ht="14.25" customHeight="1" s="35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 ht="14.25" customHeight="1" s="35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 ht="14.25" customHeight="1" s="35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 ht="14.25" customHeight="1" s="35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 ht="14.25" customHeight="1" s="35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 ht="14.25" customHeight="1" s="35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 ht="14.25" customHeight="1" s="35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 ht="14.25" customHeight="1" s="35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 ht="14.25" customHeight="1" s="35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 ht="14.25" customHeight="1" s="35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 ht="14.25" customHeight="1" s="35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 ht="14.25" customHeight="1" s="35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 ht="14.25" customHeight="1" s="35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 ht="14.25" customHeight="1" s="35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 ht="14.25" customHeight="1" s="35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 ht="14.25" customHeight="1" s="35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 ht="14.25" customHeight="1" s="35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 ht="14.25" customHeight="1" s="35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 ht="14.25" customHeight="1" s="35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 ht="14.25" customHeight="1" s="35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 ht="14.25" customHeight="1" s="35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 ht="14.25" customHeight="1" s="35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 ht="14.25" customHeight="1" s="35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 ht="14.25" customHeight="1" s="35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 ht="14.25" customHeight="1" s="35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 ht="14.25" customHeight="1" s="35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 ht="14.25" customHeight="1" s="35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 ht="14.25" customHeight="1" s="35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 ht="14.25" customHeight="1" s="35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 ht="14.25" customHeight="1" s="35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 ht="14.25" customHeight="1" s="35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 ht="14.25" customHeight="1" s="35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 ht="14.25" customHeight="1" s="35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 ht="14.25" customHeight="1" s="35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 ht="14.25" customHeight="1" s="35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 ht="14.25" customHeight="1" s="35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 ht="14.25" customHeight="1" s="35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 ht="14.25" customHeight="1" s="35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 ht="14.25" customHeight="1" s="35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 ht="14.25" customHeight="1" s="35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 ht="14.25" customHeight="1" s="35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 ht="14.25" customHeight="1" s="35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 ht="14.25" customHeight="1" s="35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 ht="14.25" customHeight="1" s="35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 ht="14.25" customHeight="1" s="35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 ht="14.25" customHeight="1" s="35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 ht="14.25" customHeight="1" s="35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 ht="14.25" customHeight="1" s="35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 ht="14.25" customHeight="1" s="35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 ht="14.25" customHeight="1" s="35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 ht="14.25" customHeight="1" s="35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 ht="14.25" customHeight="1" s="35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 ht="14.25" customHeight="1" s="35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 ht="14.25" customHeight="1" s="35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 ht="14.25" customHeight="1" s="35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 ht="14.25" customHeight="1" s="35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 ht="14.25" customHeight="1" s="35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 ht="14.25" customHeight="1" s="35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 ht="14.25" customHeight="1" s="35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 ht="14.25" customHeight="1" s="35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 ht="14.25" customHeight="1" s="35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 ht="14.25" customHeight="1" s="35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 ht="14.25" customHeight="1" s="35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 ht="14.25" customHeight="1" s="35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 ht="14.25" customHeight="1" s="35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 ht="14.25" customHeight="1" s="35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 ht="14.25" customHeight="1" s="35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 ht="14.25" customHeight="1" s="35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 ht="14.25" customHeight="1" s="35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 ht="14.25" customHeight="1" s="35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 ht="14.25" customHeight="1" s="35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 ht="14.25" customHeight="1" s="35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 ht="14.25" customHeight="1" s="35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 ht="14.25" customHeight="1" s="35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 ht="14.25" customHeight="1" s="35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 ht="14.25" customHeight="1" s="35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 ht="14.25" customHeight="1" s="35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 ht="14.25" customHeight="1" s="35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 ht="14.25" customHeight="1" s="35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 ht="14.25" customHeight="1" s="35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 ht="14.25" customHeight="1" s="35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 ht="14.25" customHeight="1" s="35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 ht="14.25" customHeight="1" s="35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 ht="14.25" customHeight="1" s="35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 ht="14.25" customHeight="1" s="35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 ht="14.25" customHeight="1" s="35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 ht="14.25" customHeight="1" s="35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 ht="14.25" customHeight="1" s="35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 ht="14.25" customHeight="1" s="35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 ht="14.25" customHeight="1" s="35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 ht="14.25" customHeight="1" s="35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 ht="14.25" customHeight="1" s="35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 ht="14.25" customHeight="1" s="35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 ht="14.25" customHeight="1" s="35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 ht="14.25" customHeight="1" s="35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 ht="14.25" customHeight="1" s="35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 ht="14.25" customHeight="1" s="35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 ht="14.25" customHeight="1" s="35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 ht="14.25" customHeight="1" s="35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 ht="14.25" customHeight="1" s="35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 ht="14.25" customHeight="1" s="35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 ht="14.25" customHeight="1" s="35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 ht="14.25" customHeight="1" s="35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 ht="14.25" customHeight="1" s="35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 ht="14.25" customHeight="1" s="35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 ht="14.25" customHeight="1" s="35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 ht="14.25" customHeight="1" s="35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 ht="14.25" customHeight="1" s="35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 ht="14.25" customHeight="1" s="35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 ht="14.25" customHeight="1" s="35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 ht="14.25" customHeight="1" s="35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 ht="14.25" customHeight="1" s="35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 ht="14.25" customHeight="1" s="35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 ht="14.25" customHeight="1" s="35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 ht="14.25" customHeight="1" s="35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 ht="14.25" customHeight="1" s="35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 ht="14.25" customHeight="1" s="35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 ht="14.25" customHeight="1" s="35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 ht="14.25" customHeight="1" s="35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 ht="14.25" customHeight="1" s="35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 ht="14.25" customHeight="1" s="35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 ht="14.25" customHeight="1" s="35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 ht="14.25" customHeight="1" s="35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 ht="14.25" customHeight="1" s="35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 ht="14.25" customHeight="1" s="35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 ht="14.25" customHeight="1" s="35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 ht="14.25" customHeight="1" s="35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 ht="14.25" customHeight="1" s="35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 ht="14.25" customHeight="1" s="35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 ht="14.25" customHeight="1" s="35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 ht="14.25" customHeight="1" s="35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 ht="14.25" customHeight="1" s="35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 ht="14.25" customHeight="1" s="35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 ht="14.25" customHeight="1" s="35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 ht="14.25" customHeight="1" s="35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 ht="14.25" customHeight="1" s="35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 ht="14.25" customHeight="1" s="35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 ht="14.25" customHeight="1" s="35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 ht="14.25" customHeight="1" s="35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 ht="14.25" customHeight="1" s="35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 ht="14.25" customHeight="1" s="35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 ht="14.25" customHeight="1" s="35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 ht="14.25" customHeight="1" s="35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 ht="14.25" customHeight="1" s="35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 ht="14.25" customHeight="1" s="35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 ht="14.25" customHeight="1" s="35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 ht="14.25" customHeight="1" s="35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 ht="14.25" customHeight="1" s="35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 ht="14.25" customHeight="1" s="35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 ht="14.25" customHeight="1" s="35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 ht="14.25" customHeight="1" s="35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 ht="14.25" customHeight="1" s="35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 ht="14.25" customHeight="1" s="35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 ht="14.25" customHeight="1" s="35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 ht="14.25" customHeight="1" s="35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 ht="14.25" customHeight="1" s="35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 ht="14.25" customHeight="1" s="35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 ht="14.25" customHeight="1" s="35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 ht="14.25" customHeight="1" s="35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 ht="14.25" customHeight="1" s="35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 ht="14.25" customHeight="1" s="35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 ht="14.25" customHeight="1" s="35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 ht="14.25" customHeight="1" s="35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 ht="14.25" customHeight="1" s="3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 ht="14.25" customHeight="1" s="35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 ht="14.25" customHeight="1" s="35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 ht="14.25" customHeight="1" s="35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 ht="14.25" customHeight="1" s="35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 ht="14.25" customHeight="1" s="35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 ht="14.25" customHeight="1" s="35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 ht="14.25" customHeight="1" s="35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 ht="14.25" customHeight="1" s="35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 ht="14.25" customHeight="1" s="35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 ht="14.25" customHeight="1" s="3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 ht="14.25" customHeight="1" s="35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 ht="14.25" customHeight="1" s="35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 ht="14.25" customHeight="1" s="35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 ht="14.25" customHeight="1" s="35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 ht="14.25" customHeight="1" s="35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 ht="14.25" customHeight="1" s="35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 ht="14.25" customHeight="1" s="35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 ht="14.25" customHeight="1" s="35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 ht="14.25" customHeight="1" s="35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 ht="14.25" customHeight="1" s="3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 ht="14.25" customHeight="1" s="35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 ht="14.25" customHeight="1" s="35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 ht="14.25" customHeight="1" s="35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 ht="14.25" customHeight="1" s="35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 ht="14.25" customHeight="1" s="35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 ht="14.25" customHeight="1" s="35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 ht="14.25" customHeight="1" s="35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 ht="14.25" customHeight="1" s="35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 ht="14.25" customHeight="1" s="35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 ht="14.25" customHeight="1" s="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 ht="14.25" customHeight="1" s="35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 ht="14.25" customHeight="1" s="35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 ht="14.25" customHeight="1" s="35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 ht="14.25" customHeight="1" s="35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 ht="14.25" customHeight="1" s="35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 ht="14.25" customHeight="1" s="35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 ht="14.25" customHeight="1" s="35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 ht="14.25" customHeight="1" s="35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 ht="14.25" customHeight="1" s="35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 ht="14.25" customHeight="1" s="3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 ht="14.25" customHeight="1" s="35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 ht="14.25" customHeight="1" s="35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 ht="14.25" customHeight="1" s="35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 ht="14.25" customHeight="1" s="35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 ht="14.25" customHeight="1" s="35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 ht="14.25" customHeight="1" s="35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 ht="14.25" customHeight="1" s="35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 ht="14.25" customHeight="1" s="35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 ht="14.25" customHeight="1" s="35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 ht="14.25" customHeight="1" s="3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 ht="14.25" customHeight="1" s="35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 ht="14.25" customHeight="1" s="35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 ht="14.25" customHeight="1" s="35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 ht="14.25" customHeight="1" s="35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 ht="14.25" customHeight="1" s="35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 ht="14.25" customHeight="1" s="35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 ht="14.25" customHeight="1" s="35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 ht="14.25" customHeight="1" s="35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 ht="14.25" customHeight="1" s="35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 ht="14.25" customHeight="1" s="3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4.25" customHeight="1" s="35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4.25" customHeight="1" s="35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4.25" customHeight="1" s="35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4.25" customHeight="1" s="35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4.25" customHeight="1" s="35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4.25" customHeight="1" s="35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4.25" customHeight="1" s="35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4.25" customHeight="1" s="35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4.25" customHeight="1" s="35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4.25" customHeight="1" s="3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4.25" customHeight="1" s="35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4.25" customHeight="1" s="35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4.25" customHeight="1" s="35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4.25" customHeight="1" s="35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4.25" customHeight="1" s="35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4.25" customHeight="1" s="35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4.25" customHeight="1" s="35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4.25" customHeight="1" s="35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4.25" customHeight="1" s="35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4.25" customHeight="1" s="3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4.25" customHeight="1" s="35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4.25" customHeight="1" s="35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4.25" customHeight="1" s="35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4.25" customHeight="1" s="35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4.25" customHeight="1" s="35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4.25" customHeight="1" s="35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4.25" customHeight="1" s="35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4.25" customHeight="1" s="35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4.25" customHeight="1" s="35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4.25" customHeight="1" s="3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4.25" customHeight="1" s="35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4.25" customHeight="1" s="35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4.25" customHeight="1" s="35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4.25" customHeight="1" s="35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4.25" customHeight="1" s="35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4.25" customHeight="1" s="35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4.25" customHeight="1" s="35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4.25" customHeight="1" s="35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4.25" customHeight="1" s="35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4.25" customHeight="1" s="3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4.25" customHeight="1" s="35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4.25" customHeight="1" s="35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4.25" customHeight="1" s="35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4.25" customHeight="1" s="35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4.25" customHeight="1" s="35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4.25" customHeight="1" s="35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4.25" customHeight="1" s="35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4.25" customHeight="1" s="35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4.25" customHeight="1" s="35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4.25" customHeight="1" s="3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4.25" customHeight="1" s="35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4.25" customHeight="1" s="35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4.25" customHeight="1" s="35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4.25" customHeight="1" s="35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4.25" customHeight="1" s="35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4.25" customHeight="1" s="35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4.25" customHeight="1" s="35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4.25" customHeight="1" s="35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4.25" customHeight="1" s="35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4.25" customHeight="1" s="3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4.25" customHeight="1" s="35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4.25" customHeight="1" s="35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4.25" customHeight="1" s="35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4.25" customHeight="1" s="35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4.25" customHeight="1" s="35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4.25" customHeight="1" s="35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4.25" customHeight="1" s="35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4.25" customHeight="1" s="35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4.25" customHeight="1" s="35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4.25" customHeight="1" s="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4.25" customHeight="1" s="35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4.25" customHeight="1" s="35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4.25" customHeight="1" s="35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4.25" customHeight="1" s="35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4.25" customHeight="1" s="35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4.25" customHeight="1" s="35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4.25" customHeight="1" s="35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4.25" customHeight="1" s="35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4.25" customHeight="1" s="35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4.25" customHeight="1" s="3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4.25" customHeight="1" s="35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4.25" customHeight="1" s="35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4.25" customHeight="1" s="35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4.25" customHeight="1" s="35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4.25" customHeight="1" s="35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4.25" customHeight="1" s="35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4.25" customHeight="1" s="35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4.25" customHeight="1" s="35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4.25" customHeight="1" s="35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4.25" customHeight="1" s="3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4.25" customHeight="1" s="35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4.25" customHeight="1" s="35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4.25" customHeight="1" s="35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4.25" customHeight="1" s="35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4.25" customHeight="1" s="35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4.25" customHeight="1" s="35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4.25" customHeight="1" s="35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4.25" customHeight="1" s="35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4.25" customHeight="1" s="35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4.25" customHeight="1" s="3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4.25" customHeight="1" s="35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4.25" customHeight="1" s="35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4.25" customHeight="1" s="35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4.25" customHeight="1" s="35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4.25" customHeight="1" s="35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4.25" customHeight="1" s="35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4.25" customHeight="1" s="35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4.25" customHeight="1" s="35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4.25" customHeight="1" s="35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4.25" customHeight="1" s="3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4.25" customHeight="1" s="35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4.25" customHeight="1" s="35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4.25" customHeight="1" s="35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4.25" customHeight="1" s="35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4.25" customHeight="1" s="35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4.25" customHeight="1" s="35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4.25" customHeight="1" s="35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4.25" customHeight="1" s="35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4.25" customHeight="1" s="35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4.25" customHeight="1" s="3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4.25" customHeight="1" s="35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4.25" customHeight="1" s="35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4.25" customHeight="1" s="35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4.25" customHeight="1" s="35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4.25" customHeight="1" s="35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4.25" customHeight="1" s="35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4.25" customHeight="1" s="35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4.25" customHeight="1" s="35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4.25" customHeight="1" s="35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4.25" customHeight="1" s="3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4.25" customHeight="1" s="35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4.25" customHeight="1" s="35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4.25" customHeight="1" s="35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4.25" customHeight="1" s="35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4.25" customHeight="1" s="35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4.25" customHeight="1" s="35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4.25" customHeight="1" s="35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4.25" customHeight="1" s="35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4.25" customHeight="1" s="35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4.25" customHeight="1" s="3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4.25" customHeight="1" s="35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4.25" customHeight="1" s="35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4.25" customHeight="1" s="35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4.25" customHeight="1" s="35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4.25" customHeight="1" s="35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4.25" customHeight="1" s="35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4.25" customHeight="1" s="35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4.25" customHeight="1" s="35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4.25" customHeight="1" s="35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4.25" customHeight="1" s="3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4.25" customHeight="1" s="35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4.25" customHeight="1" s="35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4.25" customHeight="1" s="35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4.25" customHeight="1" s="35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4.25" customHeight="1" s="35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4.25" customHeight="1" s="35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4.25" customHeight="1" s="35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4.25" customHeight="1" s="35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4.25" customHeight="1" s="35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4.25" customHeight="1" s="3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4.25" customHeight="1" s="35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4.25" customHeight="1" s="35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4.25" customHeight="1" s="35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4.25" customHeight="1" s="35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4.25" customHeight="1" s="35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4.25" customHeight="1" s="35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4.25" customHeight="1" s="35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4.25" customHeight="1" s="35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4.25" customHeight="1" s="35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4.25" customHeight="1" s="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4.25" customHeight="1" s="35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4.25" customHeight="1" s="35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4.25" customHeight="1" s="35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4.25" customHeight="1" s="35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4.25" customHeight="1" s="35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4.25" customHeight="1" s="35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4.25" customHeight="1" s="35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4.25" customHeight="1" s="35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4.25" customHeight="1" s="35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4.25" customHeight="1" s="3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4.25" customHeight="1" s="35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4.25" customHeight="1" s="35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4.25" customHeight="1" s="35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4.25" customHeight="1" s="35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4.25" customHeight="1" s="35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4.25" customHeight="1" s="35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4.25" customHeight="1" s="35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4.25" customHeight="1" s="35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4.25" customHeight="1" s="35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4.25" customHeight="1" s="3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4.25" customHeight="1" s="35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4.25" customHeight="1" s="35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4.25" customHeight="1" s="35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4.25" customHeight="1" s="35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4.25" customHeight="1" s="35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4.25" customHeight="1" s="35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4.25" customHeight="1" s="35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4.25" customHeight="1" s="35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4.25" customHeight="1" s="35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4.25" customHeight="1" s="3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4.25" customHeight="1" s="35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4.25" customHeight="1" s="35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4.25" customHeight="1" s="35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4.25" customHeight="1" s="35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4.25" customHeight="1" s="35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4.25" customHeight="1" s="35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4.25" customHeight="1" s="35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4.25" customHeight="1" s="35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4.25" customHeight="1" s="35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4.25" customHeight="1" s="3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4.25" customHeight="1" s="35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4.25" customHeight="1" s="35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4.25" customHeight="1" s="35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4.25" customHeight="1" s="35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4.25" customHeight="1" s="35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4.25" customHeight="1" s="35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4.25" customHeight="1" s="35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4.25" customHeight="1" s="35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4.25" customHeight="1" s="35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4.25" customHeight="1" s="3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4.25" customHeight="1" s="35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4.25" customHeight="1" s="35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4.25" customHeight="1" s="35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4.25" customHeight="1" s="35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4.25" customHeight="1" s="35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4.25" customHeight="1" s="35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4.25" customHeight="1" s="35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4.25" customHeight="1" s="35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4.25" customHeight="1" s="35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4.25" customHeight="1" s="3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4.25" customHeight="1" s="35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4.25" customHeight="1" s="35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4.25" customHeight="1" s="35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4.25" customHeight="1" s="35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4.25" customHeight="1" s="35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4.25" customHeight="1" s="35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4.25" customHeight="1" s="35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4.25" customHeight="1" s="35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4.25" customHeight="1" s="35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4.25" customHeight="1" s="3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4.25" customHeight="1" s="35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4.25" customHeight="1" s="35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4.25" customHeight="1" s="35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4.25" customHeight="1" s="35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4.25" customHeight="1" s="35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4.25" customHeight="1" s="35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4.25" customHeight="1" s="35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4.25" customHeight="1" s="35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4.25" customHeight="1" s="35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4.25" customHeight="1" s="3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4.25" customHeight="1" s="35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4.25" customHeight="1" s="35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4.25" customHeight="1" s="35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4.25" customHeight="1" s="35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4.25" customHeight="1" s="35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4.25" customHeight="1" s="35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4.25" customHeight="1" s="35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4.25" customHeight="1" s="35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4.25" customHeight="1" s="35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4.25" customHeight="1" s="3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4.25" customHeight="1" s="35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4.25" customHeight="1" s="35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4.25" customHeight="1" s="35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4.25" customHeight="1" s="35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4.25" customHeight="1" s="35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4.25" customHeight="1" s="35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4.25" customHeight="1" s="35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4.25" customHeight="1" s="35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4.25" customHeight="1" s="35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4.25" customHeight="1" s="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4.25" customHeight="1" s="35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4.25" customHeight="1" s="35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4.25" customHeight="1" s="35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4.25" customHeight="1" s="35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4.25" customHeight="1" s="35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4.25" customHeight="1" s="35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4.25" customHeight="1" s="35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4.25" customHeight="1" s="35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4.25" customHeight="1" s="35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4.25" customHeight="1" s="3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4.25" customHeight="1" s="35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4.25" customHeight="1" s="35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4.25" customHeight="1" s="35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4.25" customHeight="1" s="35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4.25" customHeight="1" s="35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4.25" customHeight="1" s="35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4.25" customHeight="1" s="35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4.25" customHeight="1" s="35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4.25" customHeight="1" s="35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4.25" customHeight="1" s="3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4.25" customHeight="1" s="35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4.25" customHeight="1" s="35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4.25" customHeight="1" s="35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4.25" customHeight="1" s="35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4.25" customHeight="1" s="35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4.25" customHeight="1" s="35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4.25" customHeight="1" s="35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4.25" customHeight="1" s="35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4.25" customHeight="1" s="35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4.25" customHeight="1" s="3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4.25" customHeight="1" s="35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4.25" customHeight="1" s="35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4.25" customHeight="1" s="35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4.25" customHeight="1" s="35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4.25" customHeight="1" s="35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4.25" customHeight="1" s="35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4.25" customHeight="1" s="35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4.25" customHeight="1" s="35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4.25" customHeight="1" s="35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4.25" customHeight="1" s="3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4.25" customHeight="1" s="35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4.25" customHeight="1" s="35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4.25" customHeight="1" s="35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4.25" customHeight="1" s="35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4.25" customHeight="1" s="35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4.25" customHeight="1" s="35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4.25" customHeight="1" s="35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4.25" customHeight="1" s="35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4.25" customHeight="1" s="35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4.25" customHeight="1" s="3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4.25" customHeight="1" s="35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4.25" customHeight="1" s="35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4.25" customHeight="1" s="35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4.25" customHeight="1" s="35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4.25" customHeight="1" s="35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4.25" customHeight="1" s="35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4.25" customHeight="1" s="35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4.25" customHeight="1" s="35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4.25" customHeight="1" s="35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4.25" customHeight="1" s="3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4.25" customHeight="1" s="35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4.25" customHeight="1" s="35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4.25" customHeight="1" s="35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4.25" customHeight="1" s="35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4.25" customHeight="1" s="35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4.25" customHeight="1" s="35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4.25" customHeight="1" s="35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4.25" customHeight="1" s="35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4.25" customHeight="1" s="35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4.25" customHeight="1" s="3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4.25" customHeight="1" s="35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4.25" customHeight="1" s="35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4.25" customHeight="1" s="35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4.25" customHeight="1" s="35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4.25" customHeight="1" s="35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4.25" customHeight="1" s="35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4.25" customHeight="1" s="35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4.25" customHeight="1" s="35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4.25" customHeight="1" s="35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4.25" customHeight="1" s="3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4.25" customHeight="1" s="35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4.25" customHeight="1" s="35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4.25" customHeight="1" s="35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4.25" customHeight="1" s="35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4.25" customHeight="1" s="35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4.25" customHeight="1" s="35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4.25" customHeight="1" s="35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4.25" customHeight="1" s="35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4.25" customHeight="1" s="35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4.25" customHeight="1" s="3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4.25" customHeight="1" s="35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4.25" customHeight="1" s="35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4.25" customHeight="1" s="35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4.25" customHeight="1" s="35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4.25" customHeight="1" s="35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4.25" customHeight="1" s="35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4.25" customHeight="1" s="35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4.25" customHeight="1" s="35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4.25" customHeight="1" s="35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4.25" customHeight="1" s="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4.25" customHeight="1" s="35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4.25" customHeight="1" s="35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4.25" customHeight="1" s="35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4.25" customHeight="1" s="35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4.25" customHeight="1" s="35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4.25" customHeight="1" s="35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4.25" customHeight="1" s="35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4.25" customHeight="1" s="35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4.25" customHeight="1" s="35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4.25" customHeight="1" s="3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4.25" customHeight="1" s="35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4.25" customHeight="1" s="35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4.25" customHeight="1" s="35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4.25" customHeight="1" s="35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4.25" customHeight="1" s="35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4.25" customHeight="1" s="35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4.25" customHeight="1" s="35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4.25" customHeight="1" s="35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4.25" customHeight="1" s="35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4.25" customHeight="1" s="3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4.25" customHeight="1" s="35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4.25" customHeight="1" s="35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4.25" customHeight="1" s="35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4.25" customHeight="1" s="35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4.25" customHeight="1" s="35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4.25" customHeight="1" s="35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4.25" customHeight="1" s="35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4.25" customHeight="1" s="35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4.25" customHeight="1" s="35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4.25" customHeight="1" s="3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4.25" customHeight="1" s="35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4.25" customHeight="1" s="35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4.25" customHeight="1" s="35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4.25" customHeight="1" s="35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4.25" customHeight="1" s="35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4.25" customHeight="1" s="35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4.25" customHeight="1" s="35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4.25" customHeight="1" s="35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4.25" customHeight="1" s="35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4.25" customHeight="1" s="3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4.25" customHeight="1" s="35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4.25" customHeight="1" s="35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4.25" customHeight="1" s="35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4.25" customHeight="1" s="35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4.25" customHeight="1" s="35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4.25" customHeight="1" s="35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4.25" customHeight="1" s="35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4.25" customHeight="1" s="35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4.25" customHeight="1" s="35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4.25" customHeight="1" s="3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4.25" customHeight="1" s="35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4.25" customHeight="1" s="35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4.25" customHeight="1" s="35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4.25" customHeight="1" s="35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4.25" customHeight="1" s="35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4.25" customHeight="1" s="35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4.25" customHeight="1" s="35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4.25" customHeight="1" s="35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4.25" customHeight="1" s="35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4.25" customHeight="1" s="3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4.25" customHeight="1" s="35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4.25" customHeight="1" s="35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4.25" customHeight="1" s="35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4.25" customHeight="1" s="35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4.25" customHeight="1" s="35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4.25" customHeight="1" s="35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4.25" customHeight="1" s="35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4.25" customHeight="1" s="35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4.25" customHeight="1" s="35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4.25" customHeight="1" s="3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4.25" customHeight="1" s="35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4.25" customHeight="1" s="35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4.25" customHeight="1" s="35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4.25" customHeight="1" s="35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4.25" customHeight="1" s="35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4.25" customHeight="1" s="35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4.25" customHeight="1" s="35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4.25" customHeight="1" s="35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4.25" customHeight="1" s="35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4.25" customHeight="1" s="3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4.25" customHeight="1" s="35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4.25" customHeight="1" s="35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4.25" customHeight="1" s="35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4.25" customHeight="1" s="35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4.25" customHeight="1" s="35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4.25" customHeight="1" s="35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4.25" customHeight="1" s="35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4.25" customHeight="1" s="35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4.25" customHeight="1" s="35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4.25" customHeight="1" s="3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4.25" customHeight="1" s="35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4.25" customHeight="1" s="35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4.25" customHeight="1" s="35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4.25" customHeight="1" s="35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4.25" customHeight="1" s="35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4.25" customHeight="1" s="35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4.25" customHeight="1" s="35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4.25" customHeight="1" s="35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4.25" customHeight="1" s="35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4.25" customHeight="1" s="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4.25" customHeight="1" s="35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4.25" customHeight="1" s="35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4.25" customHeight="1" s="35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4.25" customHeight="1" s="35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4.25" customHeight="1" s="35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4.25" customHeight="1" s="35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4.25" customHeight="1" s="35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4.25" customHeight="1" s="35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4.25" customHeight="1" s="35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4.25" customHeight="1" s="3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4.25" customHeight="1" s="35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4.25" customHeight="1" s="35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4.25" customHeight="1" s="35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4.25" customHeight="1" s="35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4.25" customHeight="1" s="35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4.25" customHeight="1" s="35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4.25" customHeight="1" s="35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4.25" customHeight="1" s="35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4.25" customHeight="1" s="35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4.25" customHeight="1" s="3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4.25" customHeight="1" s="35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4.25" customHeight="1" s="35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4.25" customHeight="1" s="35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4.25" customHeight="1" s="35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4.25" customHeight="1" s="35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4.25" customHeight="1" s="35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4.25" customHeight="1" s="35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4.25" customHeight="1" s="35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4.25" customHeight="1" s="35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4.25" customHeight="1" s="35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4.25" customHeight="1" s="35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4.25" customHeight="1" s="35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4.25" customHeight="1" s="35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4.25" customHeight="1" s="35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4.25" customHeight="1" s="35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4.25" customHeight="1" s="35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4.25" customHeight="1" s="35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4.25" customHeight="1" s="35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4.25" customHeight="1" s="35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4.25" customHeight="1" s="35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4.25" customHeight="1" s="35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4.25" customHeight="1" s="35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4.25" customHeight="1" s="35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4.25" customHeight="1" s="35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4.25" customHeight="1" s="35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4.25" customHeight="1" s="35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4.25" customHeight="1" s="35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4.25" customHeight="1" s="35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4.25" customHeight="1" s="35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4.25" customHeight="1" s="35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4.25" customHeight="1" s="35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4.25" customHeight="1" s="35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4.25" customHeight="1" s="35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  <row r="989" ht="14.25" customHeight="1" s="35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</row>
    <row r="990" ht="14.25" customHeight="1" s="35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</row>
    <row r="991" ht="14.25" customHeight="1" s="35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</row>
    <row r="992" ht="14.25" customHeight="1" s="35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</row>
    <row r="993" ht="14.25" customHeight="1" s="35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</row>
    <row r="994" ht="14.25" customHeight="1" s="35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</row>
    <row r="995" ht="14.25" customHeight="1" s="35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</row>
    <row r="996" ht="14.25" customHeight="1" s="35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</row>
    <row r="997" ht="14.25" customHeight="1" s="35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</row>
    <row r="998" ht="14.25" customHeight="1" s="35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</row>
    <row r="999" ht="14.25" customHeight="1" s="35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</row>
    <row r="1000" ht="14.25" customHeight="1" s="35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</row>
  </sheetData>
  <autoFilter ref="$A$3:$F$63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3" customWidth="1" style="35" min="1" max="1"/>
    <col width="11" customWidth="1" style="35" min="2" max="2"/>
    <col width="12" customWidth="1" style="35" min="3" max="3"/>
    <col width="10" customWidth="1" style="35" min="4" max="4"/>
    <col width="8" customWidth="1" style="35" min="5" max="5"/>
    <col width="50" customWidth="1" style="35" min="6" max="6"/>
    <col width="14" customWidth="1" style="35" min="7" max="7"/>
    <col width="40" customWidth="1" style="35" min="8" max="8"/>
    <col width="8.710000000000001" customWidth="1" style="35" min="9" max="26"/>
  </cols>
  <sheetData>
    <row r="1" ht="14.25" customHeight="1" s="35">
      <c r="A1" s="2" t="inlineStr">
        <is>
          <t>Daily Log - one line per intern per day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</row>
    <row r="2" ht="14.25" customHeight="1" s="35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</row>
    <row r="3" ht="14.25" customHeight="1" s="35">
      <c r="A3" s="7" t="inlineStr">
        <is>
          <t>Date</t>
        </is>
      </c>
      <c r="B3" s="7" t="inlineStr">
        <is>
          <t>Intern</t>
        </is>
      </c>
      <c r="C3" s="7" t="inlineStr">
        <is>
          <t>Rows Completed Today</t>
        </is>
      </c>
      <c r="D3" s="7" t="inlineStr">
        <is>
          <t>Rows Started</t>
        </is>
      </c>
      <c r="E3" s="7" t="inlineStr">
        <is>
          <t>Hours</t>
        </is>
      </c>
      <c r="F3" s="7" t="inlineStr">
        <is>
          <t>Blockers / Questions</t>
        </is>
      </c>
      <c r="G3" s="7" t="inlineStr">
        <is>
          <t>Answered By</t>
        </is>
      </c>
      <c r="H3" s="7" t="inlineStr">
        <is>
          <t>Answer</t>
        </is>
      </c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</row>
    <row r="4" ht="14.25" customHeight="1" s="35">
      <c r="A4" s="30" t="n">
        <v>46307</v>
      </c>
      <c r="B4" s="29" t="inlineStr">
        <is>
          <t>Intern B</t>
        </is>
      </c>
      <c r="C4" s="29" t="n">
        <v>5</v>
      </c>
      <c r="D4" s="29" t="n">
        <v>2</v>
      </c>
      <c r="E4" s="29" t="n">
        <v>7</v>
      </c>
      <c r="F4" s="29" t="inlineStr">
        <is>
          <t>NAAC portal needs login for SSR manuals - marked "Blocked - portal/login" on S-002 to S-004.</t>
        </is>
      </c>
      <c r="G4" s="29" t="inlineStr">
        <is>
          <t>Supervisor</t>
        </is>
      </c>
      <c r="H4" s="29" t="inlineStr">
        <is>
          <t>OK - manager will provide NAAC files.</t>
        </is>
      </c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</row>
    <row r="5" ht="14.25" customHeight="1" s="35">
      <c r="A5" s="18" t="n"/>
      <c r="B5" s="17" t="n"/>
      <c r="C5" s="17" t="n"/>
      <c r="D5" s="17" t="n"/>
      <c r="E5" s="17" t="n"/>
      <c r="F5" s="17" t="n"/>
      <c r="G5" s="17" t="n"/>
      <c r="H5" s="17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</row>
    <row r="6" ht="14.25" customHeight="1" s="35">
      <c r="A6" s="18" t="n"/>
      <c r="B6" s="17" t="n"/>
      <c r="C6" s="17" t="n"/>
      <c r="D6" s="17" t="n"/>
      <c r="E6" s="17" t="n"/>
      <c r="F6" s="17" t="n"/>
      <c r="G6" s="17" t="n"/>
      <c r="H6" s="17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4.25" customHeight="1" s="35">
      <c r="A7" s="18" t="n"/>
      <c r="B7" s="17" t="n"/>
      <c r="C7" s="17" t="n"/>
      <c r="D7" s="17" t="n"/>
      <c r="E7" s="17" t="n"/>
      <c r="F7" s="17" t="n"/>
      <c r="G7" s="17" t="n"/>
      <c r="H7" s="17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 ht="14.25" customHeight="1" s="35">
      <c r="A8" s="18" t="n"/>
      <c r="B8" s="17" t="n"/>
      <c r="C8" s="17" t="n"/>
      <c r="D8" s="17" t="n"/>
      <c r="E8" s="17" t="n"/>
      <c r="F8" s="17" t="n"/>
      <c r="G8" s="17" t="n"/>
      <c r="H8" s="17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</row>
    <row r="9" ht="14.25" customHeight="1" s="35">
      <c r="A9" s="18" t="n"/>
      <c r="B9" s="17" t="n"/>
      <c r="C9" s="17" t="n"/>
      <c r="D9" s="17" t="n"/>
      <c r="E9" s="17" t="n"/>
      <c r="F9" s="17" t="n"/>
      <c r="G9" s="17" t="n"/>
      <c r="H9" s="17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4.25" customHeight="1" s="35">
      <c r="A10" s="18" t="n"/>
      <c r="B10" s="17" t="n"/>
      <c r="C10" s="17" t="n"/>
      <c r="D10" s="17" t="n"/>
      <c r="E10" s="17" t="n"/>
      <c r="F10" s="17" t="n"/>
      <c r="G10" s="17" t="n"/>
      <c r="H10" s="17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 ht="14.25" customHeight="1" s="35">
      <c r="A11" s="18" t="n"/>
      <c r="B11" s="17" t="n"/>
      <c r="C11" s="17" t="n"/>
      <c r="D11" s="17" t="n"/>
      <c r="E11" s="17" t="n"/>
      <c r="F11" s="17" t="n"/>
      <c r="G11" s="17" t="n"/>
      <c r="H11" s="17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 ht="14.25" customHeight="1" s="35">
      <c r="A12" s="18" t="n"/>
      <c r="B12" s="17" t="n"/>
      <c r="C12" s="17" t="n"/>
      <c r="D12" s="17" t="n"/>
      <c r="E12" s="17" t="n"/>
      <c r="F12" s="17" t="n"/>
      <c r="G12" s="17" t="n"/>
      <c r="H12" s="17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4.25" customHeight="1" s="35">
      <c r="A13" s="18" t="n"/>
      <c r="B13" s="17" t="n"/>
      <c r="C13" s="17" t="n"/>
      <c r="D13" s="17" t="n"/>
      <c r="E13" s="17" t="n"/>
      <c r="F13" s="17" t="n"/>
      <c r="G13" s="17" t="n"/>
      <c r="H13" s="17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 ht="14.25" customHeight="1" s="35">
      <c r="A14" s="18" t="n"/>
      <c r="B14" s="17" t="n"/>
      <c r="C14" s="17" t="n"/>
      <c r="D14" s="17" t="n"/>
      <c r="E14" s="17" t="n"/>
      <c r="F14" s="17" t="n"/>
      <c r="G14" s="17" t="n"/>
      <c r="H14" s="17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 ht="14.25" customHeight="1" s="35">
      <c r="A15" s="18" t="n"/>
      <c r="B15" s="17" t="n"/>
      <c r="C15" s="17" t="n"/>
      <c r="D15" s="17" t="n"/>
      <c r="E15" s="17" t="n"/>
      <c r="F15" s="17" t="n"/>
      <c r="G15" s="17" t="n"/>
      <c r="H15" s="17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4.25" customHeight="1" s="35">
      <c r="A16" s="18" t="n"/>
      <c r="B16" s="17" t="n"/>
      <c r="C16" s="17" t="n"/>
      <c r="D16" s="17" t="n"/>
      <c r="E16" s="17" t="n"/>
      <c r="F16" s="17" t="n"/>
      <c r="G16" s="17" t="n"/>
      <c r="H16" s="17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 ht="14.25" customHeight="1" s="35">
      <c r="A17" s="18" t="n"/>
      <c r="B17" s="17" t="n"/>
      <c r="C17" s="17" t="n"/>
      <c r="D17" s="17" t="n"/>
      <c r="E17" s="17" t="n"/>
      <c r="F17" s="17" t="n"/>
      <c r="G17" s="17" t="n"/>
      <c r="H17" s="17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14.25" customHeight="1" s="35">
      <c r="A18" s="18" t="n"/>
      <c r="B18" s="17" t="n"/>
      <c r="C18" s="17" t="n"/>
      <c r="D18" s="17" t="n"/>
      <c r="E18" s="17" t="n"/>
      <c r="F18" s="17" t="n"/>
      <c r="G18" s="17" t="n"/>
      <c r="H18" s="17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 ht="14.25" customHeight="1" s="35">
      <c r="A19" s="18" t="n"/>
      <c r="B19" s="17" t="n"/>
      <c r="C19" s="17" t="n"/>
      <c r="D19" s="17" t="n"/>
      <c r="E19" s="17" t="n"/>
      <c r="F19" s="17" t="n"/>
      <c r="G19" s="17" t="n"/>
      <c r="H19" s="17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 ht="14.25" customHeight="1" s="35">
      <c r="A20" s="18" t="n"/>
      <c r="B20" s="17" t="n"/>
      <c r="C20" s="17" t="n"/>
      <c r="D20" s="17" t="n"/>
      <c r="E20" s="17" t="n"/>
      <c r="F20" s="17" t="n"/>
      <c r="G20" s="17" t="n"/>
      <c r="H20" s="17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 ht="14.25" customHeight="1" s="35">
      <c r="A21" s="18" t="n"/>
      <c r="B21" s="17" t="n"/>
      <c r="C21" s="17" t="n"/>
      <c r="D21" s="17" t="n"/>
      <c r="E21" s="17" t="n"/>
      <c r="F21" s="17" t="n"/>
      <c r="G21" s="17" t="n"/>
      <c r="H21" s="17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 ht="14.25" customHeight="1" s="35">
      <c r="A22" s="18" t="n"/>
      <c r="B22" s="17" t="n"/>
      <c r="C22" s="17" t="n"/>
      <c r="D22" s="17" t="n"/>
      <c r="E22" s="17" t="n"/>
      <c r="F22" s="17" t="n"/>
      <c r="G22" s="17" t="n"/>
      <c r="H22" s="17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 ht="14.25" customHeight="1" s="35">
      <c r="A23" s="18" t="n"/>
      <c r="B23" s="17" t="n"/>
      <c r="C23" s="17" t="n"/>
      <c r="D23" s="17" t="n"/>
      <c r="E23" s="17" t="n"/>
      <c r="F23" s="17" t="n"/>
      <c r="G23" s="17" t="n"/>
      <c r="H23" s="17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 ht="14.25" customHeight="1" s="35">
      <c r="A24" s="18" t="n"/>
      <c r="B24" s="17" t="n"/>
      <c r="C24" s="17" t="n"/>
      <c r="D24" s="17" t="n"/>
      <c r="E24" s="17" t="n"/>
      <c r="F24" s="17" t="n"/>
      <c r="G24" s="17" t="n"/>
      <c r="H24" s="17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 ht="14.25" customHeight="1" s="35">
      <c r="A25" s="18" t="n"/>
      <c r="B25" s="17" t="n"/>
      <c r="C25" s="17" t="n"/>
      <c r="D25" s="17" t="n"/>
      <c r="E25" s="17" t="n"/>
      <c r="F25" s="17" t="n"/>
      <c r="G25" s="17" t="n"/>
      <c r="H25" s="17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 ht="14.25" customHeight="1" s="35">
      <c r="A26" s="18" t="n"/>
      <c r="B26" s="17" t="n"/>
      <c r="C26" s="17" t="n"/>
      <c r="D26" s="17" t="n"/>
      <c r="E26" s="17" t="n"/>
      <c r="F26" s="17" t="n"/>
      <c r="G26" s="17" t="n"/>
      <c r="H26" s="17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 ht="14.25" customHeight="1" s="35">
      <c r="A27" s="18" t="n"/>
      <c r="B27" s="17" t="n"/>
      <c r="C27" s="17" t="n"/>
      <c r="D27" s="17" t="n"/>
      <c r="E27" s="17" t="n"/>
      <c r="F27" s="17" t="n"/>
      <c r="G27" s="17" t="n"/>
      <c r="H27" s="17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 ht="14.25" customHeight="1" s="35">
      <c r="A28" s="18" t="n"/>
      <c r="B28" s="17" t="n"/>
      <c r="C28" s="17" t="n"/>
      <c r="D28" s="17" t="n"/>
      <c r="E28" s="17" t="n"/>
      <c r="F28" s="17" t="n"/>
      <c r="G28" s="17" t="n"/>
      <c r="H28" s="17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 ht="14.25" customHeight="1" s="35">
      <c r="A29" s="18" t="n"/>
      <c r="B29" s="17" t="n"/>
      <c r="C29" s="17" t="n"/>
      <c r="D29" s="17" t="n"/>
      <c r="E29" s="17" t="n"/>
      <c r="F29" s="17" t="n"/>
      <c r="G29" s="17" t="n"/>
      <c r="H29" s="17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 ht="14.25" customHeight="1" s="35">
      <c r="A30" s="18" t="n"/>
      <c r="B30" s="17" t="n"/>
      <c r="C30" s="17" t="n"/>
      <c r="D30" s="17" t="n"/>
      <c r="E30" s="17" t="n"/>
      <c r="F30" s="17" t="n"/>
      <c r="G30" s="17" t="n"/>
      <c r="H30" s="17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 ht="14.25" customHeight="1" s="35">
      <c r="A31" s="18" t="n"/>
      <c r="B31" s="17" t="n"/>
      <c r="C31" s="17" t="n"/>
      <c r="D31" s="17" t="n"/>
      <c r="E31" s="17" t="n"/>
      <c r="F31" s="17" t="n"/>
      <c r="G31" s="17" t="n"/>
      <c r="H31" s="17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 ht="14.25" customHeight="1" s="35">
      <c r="A32" s="18" t="n"/>
      <c r="B32" s="17" t="n"/>
      <c r="C32" s="17" t="n"/>
      <c r="D32" s="17" t="n"/>
      <c r="E32" s="17" t="n"/>
      <c r="F32" s="17" t="n"/>
      <c r="G32" s="17" t="n"/>
      <c r="H32" s="17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 ht="14.25" customHeight="1" s="35">
      <c r="A33" s="18" t="n"/>
      <c r="B33" s="17" t="n"/>
      <c r="C33" s="17" t="n"/>
      <c r="D33" s="17" t="n"/>
      <c r="E33" s="17" t="n"/>
      <c r="F33" s="17" t="n"/>
      <c r="G33" s="17" t="n"/>
      <c r="H33" s="17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</row>
    <row r="34" ht="14.25" customHeight="1" s="35">
      <c r="A34" s="18" t="n"/>
      <c r="B34" s="17" t="n"/>
      <c r="C34" s="17" t="n"/>
      <c r="D34" s="17" t="n"/>
      <c r="E34" s="17" t="n"/>
      <c r="F34" s="17" t="n"/>
      <c r="G34" s="17" t="n"/>
      <c r="H34" s="17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</row>
    <row r="35" ht="14.25" customHeight="1" s="35">
      <c r="A35" s="18" t="n"/>
      <c r="B35" s="17" t="n"/>
      <c r="C35" s="17" t="n"/>
      <c r="D35" s="17" t="n"/>
      <c r="E35" s="17" t="n"/>
      <c r="F35" s="17" t="n"/>
      <c r="G35" s="17" t="n"/>
      <c r="H35" s="17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</row>
    <row r="36" ht="14.25" customHeight="1" s="35">
      <c r="A36" s="18" t="n"/>
      <c r="B36" s="17" t="n"/>
      <c r="C36" s="17" t="n"/>
      <c r="D36" s="17" t="n"/>
      <c r="E36" s="17" t="n"/>
      <c r="F36" s="17" t="n"/>
      <c r="G36" s="17" t="n"/>
      <c r="H36" s="17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</row>
    <row r="37" ht="14.25" customHeight="1" s="35">
      <c r="A37" s="18" t="n"/>
      <c r="B37" s="17" t="n"/>
      <c r="C37" s="17" t="n"/>
      <c r="D37" s="17" t="n"/>
      <c r="E37" s="17" t="n"/>
      <c r="F37" s="17" t="n"/>
      <c r="G37" s="17" t="n"/>
      <c r="H37" s="17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</row>
    <row r="38" ht="14.25" customHeight="1" s="35">
      <c r="A38" s="18" t="n"/>
      <c r="B38" s="17" t="n"/>
      <c r="C38" s="17" t="n"/>
      <c r="D38" s="17" t="n"/>
      <c r="E38" s="17" t="n"/>
      <c r="F38" s="17" t="n"/>
      <c r="G38" s="17" t="n"/>
      <c r="H38" s="17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</row>
    <row r="39" ht="14.25" customHeight="1" s="35">
      <c r="A39" s="18" t="n"/>
      <c r="B39" s="17" t="n"/>
      <c r="C39" s="17" t="n"/>
      <c r="D39" s="17" t="n"/>
      <c r="E39" s="17" t="n"/>
      <c r="F39" s="17" t="n"/>
      <c r="G39" s="17" t="n"/>
      <c r="H39" s="17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</row>
    <row r="40" ht="14.25" customHeight="1" s="35">
      <c r="A40" s="18" t="n"/>
      <c r="B40" s="17" t="n"/>
      <c r="C40" s="17" t="n"/>
      <c r="D40" s="17" t="n"/>
      <c r="E40" s="17" t="n"/>
      <c r="F40" s="17" t="n"/>
      <c r="G40" s="17" t="n"/>
      <c r="H40" s="17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</row>
    <row r="41" ht="14.25" customHeight="1" s="35">
      <c r="A41" s="18" t="n"/>
      <c r="B41" s="17" t="n"/>
      <c r="C41" s="17" t="n"/>
      <c r="D41" s="17" t="n"/>
      <c r="E41" s="17" t="n"/>
      <c r="F41" s="17" t="n"/>
      <c r="G41" s="17" t="n"/>
      <c r="H41" s="17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</row>
    <row r="42" ht="14.25" customHeight="1" s="35">
      <c r="A42" s="18" t="n"/>
      <c r="B42" s="17" t="n"/>
      <c r="C42" s="17" t="n"/>
      <c r="D42" s="17" t="n"/>
      <c r="E42" s="17" t="n"/>
      <c r="F42" s="17" t="n"/>
      <c r="G42" s="17" t="n"/>
      <c r="H42" s="17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 ht="14.25" customHeight="1" s="35">
      <c r="A43" s="18" t="n"/>
      <c r="B43" s="17" t="n"/>
      <c r="C43" s="17" t="n"/>
      <c r="D43" s="17" t="n"/>
      <c r="E43" s="17" t="n"/>
      <c r="F43" s="17" t="n"/>
      <c r="G43" s="17" t="n"/>
      <c r="H43" s="17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 ht="14.25" customHeight="1" s="35">
      <c r="A44" s="18" t="n"/>
      <c r="B44" s="17" t="n"/>
      <c r="C44" s="17" t="n"/>
      <c r="D44" s="17" t="n"/>
      <c r="E44" s="17" t="n"/>
      <c r="F44" s="17" t="n"/>
      <c r="G44" s="17" t="n"/>
      <c r="H44" s="17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4.25" customHeight="1" s="35">
      <c r="A45" s="18" t="n"/>
      <c r="B45" s="17" t="n"/>
      <c r="C45" s="17" t="n"/>
      <c r="D45" s="17" t="n"/>
      <c r="E45" s="17" t="n"/>
      <c r="F45" s="17" t="n"/>
      <c r="G45" s="17" t="n"/>
      <c r="H45" s="17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4.25" customHeight="1" s="35">
      <c r="A46" s="18" t="n"/>
      <c r="B46" s="17" t="n"/>
      <c r="C46" s="17" t="n"/>
      <c r="D46" s="17" t="n"/>
      <c r="E46" s="17" t="n"/>
      <c r="F46" s="17" t="n"/>
      <c r="G46" s="17" t="n"/>
      <c r="H46" s="17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4.25" customHeight="1" s="35">
      <c r="A47" s="18" t="n"/>
      <c r="B47" s="17" t="n"/>
      <c r="C47" s="17" t="n"/>
      <c r="D47" s="17" t="n"/>
      <c r="E47" s="17" t="n"/>
      <c r="F47" s="17" t="n"/>
      <c r="G47" s="17" t="n"/>
      <c r="H47" s="17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4.25" customHeight="1" s="35">
      <c r="A48" s="18" t="n"/>
      <c r="B48" s="17" t="n"/>
      <c r="C48" s="17" t="n"/>
      <c r="D48" s="17" t="n"/>
      <c r="E48" s="17" t="n"/>
      <c r="F48" s="17" t="n"/>
      <c r="G48" s="17" t="n"/>
      <c r="H48" s="17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 ht="14.25" customHeight="1" s="35">
      <c r="A49" s="18" t="n"/>
      <c r="B49" s="17" t="n"/>
      <c r="C49" s="17" t="n"/>
      <c r="D49" s="17" t="n"/>
      <c r="E49" s="17" t="n"/>
      <c r="F49" s="17" t="n"/>
      <c r="G49" s="17" t="n"/>
      <c r="H49" s="17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 ht="14.25" customHeight="1" s="35">
      <c r="A50" s="18" t="n"/>
      <c r="B50" s="17" t="n"/>
      <c r="C50" s="17" t="n"/>
      <c r="D50" s="17" t="n"/>
      <c r="E50" s="17" t="n"/>
      <c r="F50" s="17" t="n"/>
      <c r="G50" s="17" t="n"/>
      <c r="H50" s="17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 ht="14.25" customHeight="1" s="35">
      <c r="A51" s="18" t="n"/>
      <c r="B51" s="17" t="n"/>
      <c r="C51" s="17" t="n"/>
      <c r="D51" s="17" t="n"/>
      <c r="E51" s="17" t="n"/>
      <c r="F51" s="17" t="n"/>
      <c r="G51" s="17" t="n"/>
      <c r="H51" s="17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 ht="14.25" customHeight="1" s="35">
      <c r="A52" s="18" t="n"/>
      <c r="B52" s="17" t="n"/>
      <c r="C52" s="17" t="n"/>
      <c r="D52" s="17" t="n"/>
      <c r="E52" s="17" t="n"/>
      <c r="F52" s="17" t="n"/>
      <c r="G52" s="17" t="n"/>
      <c r="H52" s="17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 ht="14.25" customHeight="1" s="35">
      <c r="A53" s="18" t="n"/>
      <c r="B53" s="17" t="n"/>
      <c r="C53" s="17" t="n"/>
      <c r="D53" s="17" t="n"/>
      <c r="E53" s="17" t="n"/>
      <c r="F53" s="17" t="n"/>
      <c r="G53" s="17" t="n"/>
      <c r="H53" s="17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 ht="14.25" customHeight="1" s="35">
      <c r="A54" s="18" t="n"/>
      <c r="B54" s="17" t="n"/>
      <c r="C54" s="17" t="n"/>
      <c r="D54" s="17" t="n"/>
      <c r="E54" s="17" t="n"/>
      <c r="F54" s="17" t="n"/>
      <c r="G54" s="17" t="n"/>
      <c r="H54" s="17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 ht="14.25" customHeight="1" s="35">
      <c r="A55" s="18" t="n"/>
      <c r="B55" s="17" t="n"/>
      <c r="C55" s="17" t="n"/>
      <c r="D55" s="17" t="n"/>
      <c r="E55" s="17" t="n"/>
      <c r="F55" s="17" t="n"/>
      <c r="G55" s="17" t="n"/>
      <c r="H55" s="17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 ht="14.25" customHeight="1" s="35">
      <c r="A56" s="18" t="n"/>
      <c r="B56" s="17" t="n"/>
      <c r="C56" s="17" t="n"/>
      <c r="D56" s="17" t="n"/>
      <c r="E56" s="17" t="n"/>
      <c r="F56" s="17" t="n"/>
      <c r="G56" s="17" t="n"/>
      <c r="H56" s="17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4.25" customHeight="1" s="35">
      <c r="A57" s="18" t="n"/>
      <c r="B57" s="17" t="n"/>
      <c r="C57" s="17" t="n"/>
      <c r="D57" s="17" t="n"/>
      <c r="E57" s="17" t="n"/>
      <c r="F57" s="17" t="n"/>
      <c r="G57" s="17" t="n"/>
      <c r="H57" s="17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 ht="14.25" customHeight="1" s="35">
      <c r="A58" s="18" t="n"/>
      <c r="B58" s="17" t="n"/>
      <c r="C58" s="17" t="n"/>
      <c r="D58" s="17" t="n"/>
      <c r="E58" s="17" t="n"/>
      <c r="F58" s="17" t="n"/>
      <c r="G58" s="17" t="n"/>
      <c r="H58" s="17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 ht="14.25" customHeight="1" s="35">
      <c r="A59" s="18" t="n"/>
      <c r="B59" s="17" t="n"/>
      <c r="C59" s="17" t="n"/>
      <c r="D59" s="17" t="n"/>
      <c r="E59" s="17" t="n"/>
      <c r="F59" s="17" t="n"/>
      <c r="G59" s="17" t="n"/>
      <c r="H59" s="17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 ht="14.25" customHeight="1" s="35">
      <c r="A60" s="18" t="n"/>
      <c r="B60" s="17" t="n"/>
      <c r="C60" s="17" t="n"/>
      <c r="D60" s="17" t="n"/>
      <c r="E60" s="17" t="n"/>
      <c r="F60" s="17" t="n"/>
      <c r="G60" s="17" t="n"/>
      <c r="H60" s="17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 ht="14.25" customHeight="1" s="35">
      <c r="A61" s="18" t="n"/>
      <c r="B61" s="17" t="n"/>
      <c r="C61" s="17" t="n"/>
      <c r="D61" s="17" t="n"/>
      <c r="E61" s="17" t="n"/>
      <c r="F61" s="17" t="n"/>
      <c r="G61" s="17" t="n"/>
      <c r="H61" s="17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 ht="14.25" customHeight="1" s="35">
      <c r="A62" s="18" t="n"/>
      <c r="B62" s="17" t="n"/>
      <c r="C62" s="17" t="n"/>
      <c r="D62" s="17" t="n"/>
      <c r="E62" s="17" t="n"/>
      <c r="F62" s="17" t="n"/>
      <c r="G62" s="17" t="n"/>
      <c r="H62" s="17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 ht="14.25" customHeight="1" s="35">
      <c r="A63" s="18" t="n"/>
      <c r="B63" s="17" t="n"/>
      <c r="C63" s="17" t="n"/>
      <c r="D63" s="17" t="n"/>
      <c r="E63" s="17" t="n"/>
      <c r="F63" s="17" t="n"/>
      <c r="G63" s="17" t="n"/>
      <c r="H63" s="17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 ht="14.25" customHeight="1" s="35">
      <c r="A64" s="18" t="n"/>
      <c r="B64" s="17" t="n"/>
      <c r="C64" s="17" t="n"/>
      <c r="D64" s="17" t="n"/>
      <c r="E64" s="17" t="n"/>
      <c r="F64" s="17" t="n"/>
      <c r="G64" s="17" t="n"/>
      <c r="H64" s="17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 ht="14.25" customHeight="1" s="35">
      <c r="A65" s="18" t="n"/>
      <c r="B65" s="17" t="n"/>
      <c r="C65" s="17" t="n"/>
      <c r="D65" s="17" t="n"/>
      <c r="E65" s="17" t="n"/>
      <c r="F65" s="17" t="n"/>
      <c r="G65" s="17" t="n"/>
      <c r="H65" s="17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 ht="14.25" customHeight="1" s="35">
      <c r="A66" s="18" t="n"/>
      <c r="B66" s="17" t="n"/>
      <c r="C66" s="17" t="n"/>
      <c r="D66" s="17" t="n"/>
      <c r="E66" s="17" t="n"/>
      <c r="F66" s="17" t="n"/>
      <c r="G66" s="17" t="n"/>
      <c r="H66" s="17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4.25" customHeight="1" s="35">
      <c r="A67" s="18" t="n"/>
      <c r="B67" s="17" t="n"/>
      <c r="C67" s="17" t="n"/>
      <c r="D67" s="17" t="n"/>
      <c r="E67" s="17" t="n"/>
      <c r="F67" s="17" t="n"/>
      <c r="G67" s="17" t="n"/>
      <c r="H67" s="17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 ht="14.25" customHeight="1" s="35">
      <c r="A68" s="18" t="n"/>
      <c r="B68" s="17" t="n"/>
      <c r="C68" s="17" t="n"/>
      <c r="D68" s="17" t="n"/>
      <c r="E68" s="17" t="n"/>
      <c r="F68" s="17" t="n"/>
      <c r="G68" s="17" t="n"/>
      <c r="H68" s="17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 ht="14.25" customHeight="1" s="35">
      <c r="A69" s="18" t="n"/>
      <c r="B69" s="17" t="n"/>
      <c r="C69" s="17" t="n"/>
      <c r="D69" s="17" t="n"/>
      <c r="E69" s="17" t="n"/>
      <c r="F69" s="17" t="n"/>
      <c r="G69" s="17" t="n"/>
      <c r="H69" s="17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 ht="14.25" customHeight="1" s="35">
      <c r="A70" s="18" t="n"/>
      <c r="B70" s="17" t="n"/>
      <c r="C70" s="17" t="n"/>
      <c r="D70" s="17" t="n"/>
      <c r="E70" s="17" t="n"/>
      <c r="F70" s="17" t="n"/>
      <c r="G70" s="17" t="n"/>
      <c r="H70" s="17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 ht="14.25" customHeight="1" s="35">
      <c r="A71" s="18" t="n"/>
      <c r="B71" s="17" t="n"/>
      <c r="C71" s="17" t="n"/>
      <c r="D71" s="17" t="n"/>
      <c r="E71" s="17" t="n"/>
      <c r="F71" s="17" t="n"/>
      <c r="G71" s="17" t="n"/>
      <c r="H71" s="17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 ht="14.25" customHeight="1" s="35">
      <c r="A72" s="18" t="n"/>
      <c r="B72" s="17" t="n"/>
      <c r="C72" s="17" t="n"/>
      <c r="D72" s="17" t="n"/>
      <c r="E72" s="17" t="n"/>
      <c r="F72" s="17" t="n"/>
      <c r="G72" s="17" t="n"/>
      <c r="H72" s="17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 ht="14.25" customHeight="1" s="35">
      <c r="A73" s="18" t="n"/>
      <c r="B73" s="17" t="n"/>
      <c r="C73" s="17" t="n"/>
      <c r="D73" s="17" t="n"/>
      <c r="E73" s="17" t="n"/>
      <c r="F73" s="17" t="n"/>
      <c r="G73" s="17" t="n"/>
      <c r="H73" s="17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 ht="14.25" customHeight="1" s="35">
      <c r="A74" s="18" t="n"/>
      <c r="B74" s="17" t="n"/>
      <c r="C74" s="17" t="n"/>
      <c r="D74" s="17" t="n"/>
      <c r="E74" s="17" t="n"/>
      <c r="F74" s="17" t="n"/>
      <c r="G74" s="17" t="n"/>
      <c r="H74" s="17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 ht="14.25" customHeight="1" s="35">
      <c r="A75" s="18" t="n"/>
      <c r="B75" s="17" t="n"/>
      <c r="C75" s="17" t="n"/>
      <c r="D75" s="17" t="n"/>
      <c r="E75" s="17" t="n"/>
      <c r="F75" s="17" t="n"/>
      <c r="G75" s="17" t="n"/>
      <c r="H75" s="17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4.25" customHeight="1" s="35">
      <c r="A76" s="18" t="n"/>
      <c r="B76" s="17" t="n"/>
      <c r="C76" s="17" t="n"/>
      <c r="D76" s="17" t="n"/>
      <c r="E76" s="17" t="n"/>
      <c r="F76" s="17" t="n"/>
      <c r="G76" s="17" t="n"/>
      <c r="H76" s="17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 ht="14.25" customHeight="1" s="35">
      <c r="A77" s="18" t="n"/>
      <c r="B77" s="17" t="n"/>
      <c r="C77" s="17" t="n"/>
      <c r="D77" s="17" t="n"/>
      <c r="E77" s="17" t="n"/>
      <c r="F77" s="17" t="n"/>
      <c r="G77" s="17" t="n"/>
      <c r="H77" s="17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 ht="14.25" customHeight="1" s="35">
      <c r="A78" s="18" t="n"/>
      <c r="B78" s="17" t="n"/>
      <c r="C78" s="17" t="n"/>
      <c r="D78" s="17" t="n"/>
      <c r="E78" s="17" t="n"/>
      <c r="F78" s="17" t="n"/>
      <c r="G78" s="17" t="n"/>
      <c r="H78" s="17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 ht="14.25" customHeight="1" s="35">
      <c r="A79" s="18" t="n"/>
      <c r="B79" s="17" t="n"/>
      <c r="C79" s="17" t="n"/>
      <c r="D79" s="17" t="n"/>
      <c r="E79" s="17" t="n"/>
      <c r="F79" s="17" t="n"/>
      <c r="G79" s="17" t="n"/>
      <c r="H79" s="17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 ht="14.25" customHeight="1" s="35">
      <c r="A80" s="18" t="n"/>
      <c r="B80" s="17" t="n"/>
      <c r="C80" s="17" t="n"/>
      <c r="D80" s="17" t="n"/>
      <c r="E80" s="17" t="n"/>
      <c r="F80" s="17" t="n"/>
      <c r="G80" s="17" t="n"/>
      <c r="H80" s="17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 ht="14.25" customHeight="1" s="35">
      <c r="A81" s="18" t="n"/>
      <c r="B81" s="17" t="n"/>
      <c r="C81" s="17" t="n"/>
      <c r="D81" s="17" t="n"/>
      <c r="E81" s="17" t="n"/>
      <c r="F81" s="17" t="n"/>
      <c r="G81" s="17" t="n"/>
      <c r="H81" s="17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 ht="14.25" customHeight="1" s="35">
      <c r="A82" s="18" t="n"/>
      <c r="B82" s="17" t="n"/>
      <c r="C82" s="17" t="n"/>
      <c r="D82" s="17" t="n"/>
      <c r="E82" s="17" t="n"/>
      <c r="F82" s="17" t="n"/>
      <c r="G82" s="17" t="n"/>
      <c r="H82" s="17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 ht="14.25" customHeight="1" s="35">
      <c r="A83" s="18" t="n"/>
      <c r="B83" s="17" t="n"/>
      <c r="C83" s="17" t="n"/>
      <c r="D83" s="17" t="n"/>
      <c r="E83" s="17" t="n"/>
      <c r="F83" s="17" t="n"/>
      <c r="G83" s="17" t="n"/>
      <c r="H83" s="17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 ht="14.25" customHeight="1" s="35">
      <c r="A84" s="18" t="n"/>
      <c r="B84" s="17" t="n"/>
      <c r="C84" s="17" t="n"/>
      <c r="D84" s="17" t="n"/>
      <c r="E84" s="17" t="n"/>
      <c r="F84" s="17" t="n"/>
      <c r="G84" s="17" t="n"/>
      <c r="H84" s="17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 ht="14.25" customHeight="1" s="35">
      <c r="A85" s="18" t="n"/>
      <c r="B85" s="17" t="n"/>
      <c r="C85" s="17" t="n"/>
      <c r="D85" s="17" t="n"/>
      <c r="E85" s="17" t="n"/>
      <c r="F85" s="17" t="n"/>
      <c r="G85" s="17" t="n"/>
      <c r="H85" s="17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 ht="14.25" customHeight="1" s="35">
      <c r="A86" s="18" t="n"/>
      <c r="B86" s="17" t="n"/>
      <c r="C86" s="17" t="n"/>
      <c r="D86" s="17" t="n"/>
      <c r="E86" s="17" t="n"/>
      <c r="F86" s="17" t="n"/>
      <c r="G86" s="17" t="n"/>
      <c r="H86" s="17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 ht="14.25" customHeight="1" s="35">
      <c r="A87" s="18" t="n"/>
      <c r="B87" s="17" t="n"/>
      <c r="C87" s="17" t="n"/>
      <c r="D87" s="17" t="n"/>
      <c r="E87" s="17" t="n"/>
      <c r="F87" s="17" t="n"/>
      <c r="G87" s="17" t="n"/>
      <c r="H87" s="17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4.25" customHeight="1" s="35">
      <c r="A88" s="18" t="n"/>
      <c r="B88" s="17" t="n"/>
      <c r="C88" s="17" t="n"/>
      <c r="D88" s="17" t="n"/>
      <c r="E88" s="17" t="n"/>
      <c r="F88" s="17" t="n"/>
      <c r="G88" s="17" t="n"/>
      <c r="H88" s="17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 ht="14.25" customHeight="1" s="35">
      <c r="A89" s="18" t="n"/>
      <c r="B89" s="17" t="n"/>
      <c r="C89" s="17" t="n"/>
      <c r="D89" s="17" t="n"/>
      <c r="E89" s="17" t="n"/>
      <c r="F89" s="17" t="n"/>
      <c r="G89" s="17" t="n"/>
      <c r="H89" s="17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 ht="14.25" customHeight="1" s="35">
      <c r="A90" s="18" t="n"/>
      <c r="B90" s="17" t="n"/>
      <c r="C90" s="17" t="n"/>
      <c r="D90" s="17" t="n"/>
      <c r="E90" s="17" t="n"/>
      <c r="F90" s="17" t="n"/>
      <c r="G90" s="17" t="n"/>
      <c r="H90" s="17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 ht="14.25" customHeight="1" s="35">
      <c r="A91" s="18" t="n"/>
      <c r="B91" s="17" t="n"/>
      <c r="C91" s="17" t="n"/>
      <c r="D91" s="17" t="n"/>
      <c r="E91" s="17" t="n"/>
      <c r="F91" s="17" t="n"/>
      <c r="G91" s="17" t="n"/>
      <c r="H91" s="17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 ht="14.25" customHeight="1" s="35">
      <c r="A92" s="18" t="n"/>
      <c r="B92" s="17" t="n"/>
      <c r="C92" s="17" t="n"/>
      <c r="D92" s="17" t="n"/>
      <c r="E92" s="17" t="n"/>
      <c r="F92" s="17" t="n"/>
      <c r="G92" s="17" t="n"/>
      <c r="H92" s="17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 ht="14.25" customHeight="1" s="35">
      <c r="A93" s="18" t="n"/>
      <c r="B93" s="17" t="n"/>
      <c r="C93" s="17" t="n"/>
      <c r="D93" s="17" t="n"/>
      <c r="E93" s="17" t="n"/>
      <c r="F93" s="17" t="n"/>
      <c r="G93" s="17" t="n"/>
      <c r="H93" s="17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 ht="14.25" customHeight="1" s="35">
      <c r="A94" s="18" t="n"/>
      <c r="B94" s="17" t="n"/>
      <c r="C94" s="17" t="n"/>
      <c r="D94" s="17" t="n"/>
      <c r="E94" s="17" t="n"/>
      <c r="F94" s="17" t="n"/>
      <c r="G94" s="17" t="n"/>
      <c r="H94" s="17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 ht="14.25" customHeight="1" s="35">
      <c r="A95" s="18" t="n"/>
      <c r="B95" s="17" t="n"/>
      <c r="C95" s="17" t="n"/>
      <c r="D95" s="17" t="n"/>
      <c r="E95" s="17" t="n"/>
      <c r="F95" s="17" t="n"/>
      <c r="G95" s="17" t="n"/>
      <c r="H95" s="17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 ht="14.25" customHeight="1" s="35">
      <c r="A96" s="18" t="n"/>
      <c r="B96" s="17" t="n"/>
      <c r="C96" s="17" t="n"/>
      <c r="D96" s="17" t="n"/>
      <c r="E96" s="17" t="n"/>
      <c r="F96" s="17" t="n"/>
      <c r="G96" s="17" t="n"/>
      <c r="H96" s="17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 ht="14.25" customHeight="1" s="35">
      <c r="A97" s="18" t="n"/>
      <c r="B97" s="17" t="n"/>
      <c r="C97" s="17" t="n"/>
      <c r="D97" s="17" t="n"/>
      <c r="E97" s="17" t="n"/>
      <c r="F97" s="17" t="n"/>
      <c r="G97" s="17" t="n"/>
      <c r="H97" s="17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 ht="14.25" customHeight="1" s="35">
      <c r="A98" s="18" t="n"/>
      <c r="B98" s="17" t="n"/>
      <c r="C98" s="17" t="n"/>
      <c r="D98" s="17" t="n"/>
      <c r="E98" s="17" t="n"/>
      <c r="F98" s="17" t="n"/>
      <c r="G98" s="17" t="n"/>
      <c r="H98" s="17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 ht="14.25" customHeight="1" s="35">
      <c r="A99" s="18" t="n"/>
      <c r="B99" s="17" t="n"/>
      <c r="C99" s="17" t="n"/>
      <c r="D99" s="17" t="n"/>
      <c r="E99" s="17" t="n"/>
      <c r="F99" s="17" t="n"/>
      <c r="G99" s="17" t="n"/>
      <c r="H99" s="17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4.25" customHeight="1" s="35">
      <c r="A100" s="18" t="n"/>
      <c r="B100" s="17" t="n"/>
      <c r="C100" s="17" t="n"/>
      <c r="D100" s="17" t="n"/>
      <c r="E100" s="17" t="n"/>
      <c r="F100" s="17" t="n"/>
      <c r="G100" s="17" t="n"/>
      <c r="H100" s="17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 ht="14.25" customHeight="1" s="35">
      <c r="A101" s="18" t="n"/>
      <c r="B101" s="17" t="n"/>
      <c r="C101" s="17" t="n"/>
      <c r="D101" s="17" t="n"/>
      <c r="E101" s="17" t="n"/>
      <c r="F101" s="17" t="n"/>
      <c r="G101" s="17" t="n"/>
      <c r="H101" s="17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 ht="14.25" customHeight="1" s="35">
      <c r="A102" s="18" t="n"/>
      <c r="B102" s="17" t="n"/>
      <c r="C102" s="17" t="n"/>
      <c r="D102" s="17" t="n"/>
      <c r="E102" s="17" t="n"/>
      <c r="F102" s="17" t="n"/>
      <c r="G102" s="17" t="n"/>
      <c r="H102" s="17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 ht="14.25" customHeight="1" s="35">
      <c r="A103" s="18" t="n"/>
      <c r="B103" s="17" t="n"/>
      <c r="C103" s="17" t="n"/>
      <c r="D103" s="17" t="n"/>
      <c r="E103" s="17" t="n"/>
      <c r="F103" s="17" t="n"/>
      <c r="G103" s="17" t="n"/>
      <c r="H103" s="17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 ht="14.25" customHeight="1" s="35">
      <c r="A104" s="18" t="n"/>
      <c r="B104" s="17" t="n"/>
      <c r="C104" s="17" t="n"/>
      <c r="D104" s="17" t="n"/>
      <c r="E104" s="17" t="n"/>
      <c r="F104" s="17" t="n"/>
      <c r="G104" s="17" t="n"/>
      <c r="H104" s="17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 ht="14.25" customHeight="1" s="35">
      <c r="A105" s="18" t="n"/>
      <c r="B105" s="17" t="n"/>
      <c r="C105" s="17" t="n"/>
      <c r="D105" s="17" t="n"/>
      <c r="E105" s="17" t="n"/>
      <c r="F105" s="17" t="n"/>
      <c r="G105" s="17" t="n"/>
      <c r="H105" s="17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 ht="14.25" customHeight="1" s="35">
      <c r="A106" s="18" t="n"/>
      <c r="B106" s="17" t="n"/>
      <c r="C106" s="17" t="n"/>
      <c r="D106" s="17" t="n"/>
      <c r="E106" s="17" t="n"/>
      <c r="F106" s="17" t="n"/>
      <c r="G106" s="17" t="n"/>
      <c r="H106" s="17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 ht="14.25" customHeight="1" s="35">
      <c r="A107" s="18" t="n"/>
      <c r="B107" s="17" t="n"/>
      <c r="C107" s="17" t="n"/>
      <c r="D107" s="17" t="n"/>
      <c r="E107" s="17" t="n"/>
      <c r="F107" s="17" t="n"/>
      <c r="G107" s="17" t="n"/>
      <c r="H107" s="17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 ht="14.25" customHeight="1" s="35">
      <c r="A108" s="18" t="n"/>
      <c r="B108" s="17" t="n"/>
      <c r="C108" s="17" t="n"/>
      <c r="D108" s="17" t="n"/>
      <c r="E108" s="17" t="n"/>
      <c r="F108" s="17" t="n"/>
      <c r="G108" s="17" t="n"/>
      <c r="H108" s="17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4.25" customHeight="1" s="35">
      <c r="A109" s="18" t="n"/>
      <c r="B109" s="17" t="n"/>
      <c r="C109" s="17" t="n"/>
      <c r="D109" s="17" t="n"/>
      <c r="E109" s="17" t="n"/>
      <c r="F109" s="17" t="n"/>
      <c r="G109" s="17" t="n"/>
      <c r="H109" s="17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 ht="14.25" customHeight="1" s="35">
      <c r="A110" s="18" t="n"/>
      <c r="B110" s="17" t="n"/>
      <c r="C110" s="17" t="n"/>
      <c r="D110" s="17" t="n"/>
      <c r="E110" s="17" t="n"/>
      <c r="F110" s="17" t="n"/>
      <c r="G110" s="17" t="n"/>
      <c r="H110" s="17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 ht="14.25" customHeight="1" s="35">
      <c r="A111" s="18" t="n"/>
      <c r="B111" s="17" t="n"/>
      <c r="C111" s="17" t="n"/>
      <c r="D111" s="17" t="n"/>
      <c r="E111" s="17" t="n"/>
      <c r="F111" s="17" t="n"/>
      <c r="G111" s="17" t="n"/>
      <c r="H111" s="17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 ht="14.25" customHeight="1" s="35">
      <c r="A112" s="18" t="n"/>
      <c r="B112" s="17" t="n"/>
      <c r="C112" s="17" t="n"/>
      <c r="D112" s="17" t="n"/>
      <c r="E112" s="17" t="n"/>
      <c r="F112" s="17" t="n"/>
      <c r="G112" s="17" t="n"/>
      <c r="H112" s="17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 ht="14.25" customHeight="1" s="35">
      <c r="A113" s="18" t="n"/>
      <c r="B113" s="17" t="n"/>
      <c r="C113" s="17" t="n"/>
      <c r="D113" s="17" t="n"/>
      <c r="E113" s="17" t="n"/>
      <c r="F113" s="17" t="n"/>
      <c r="G113" s="17" t="n"/>
      <c r="H113" s="17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 ht="14.25" customHeight="1" s="35">
      <c r="A114" s="18" t="n"/>
      <c r="B114" s="17" t="n"/>
      <c r="C114" s="17" t="n"/>
      <c r="D114" s="17" t="n"/>
      <c r="E114" s="17" t="n"/>
      <c r="F114" s="17" t="n"/>
      <c r="G114" s="17" t="n"/>
      <c r="H114" s="17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 ht="14.25" customHeight="1" s="35">
      <c r="A115" s="18" t="n"/>
      <c r="B115" s="17" t="n"/>
      <c r="C115" s="17" t="n"/>
      <c r="D115" s="17" t="n"/>
      <c r="E115" s="17" t="n"/>
      <c r="F115" s="17" t="n"/>
      <c r="G115" s="17" t="n"/>
      <c r="H115" s="17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 ht="14.25" customHeight="1" s="35">
      <c r="A116" s="18" t="n"/>
      <c r="B116" s="17" t="n"/>
      <c r="C116" s="17" t="n"/>
      <c r="D116" s="17" t="n"/>
      <c r="E116" s="17" t="n"/>
      <c r="F116" s="17" t="n"/>
      <c r="G116" s="17" t="n"/>
      <c r="H116" s="17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 ht="14.25" customHeight="1" s="35">
      <c r="A117" s="18" t="n"/>
      <c r="B117" s="17" t="n"/>
      <c r="C117" s="17" t="n"/>
      <c r="D117" s="17" t="n"/>
      <c r="E117" s="17" t="n"/>
      <c r="F117" s="17" t="n"/>
      <c r="G117" s="17" t="n"/>
      <c r="H117" s="17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 ht="14.25" customHeight="1" s="35">
      <c r="A118" s="18" t="n"/>
      <c r="B118" s="17" t="n"/>
      <c r="C118" s="17" t="n"/>
      <c r="D118" s="17" t="n"/>
      <c r="E118" s="17" t="n"/>
      <c r="F118" s="17" t="n"/>
      <c r="G118" s="17" t="n"/>
      <c r="H118" s="17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 ht="14.25" customHeight="1" s="35">
      <c r="A119" s="18" t="n"/>
      <c r="B119" s="17" t="n"/>
      <c r="C119" s="17" t="n"/>
      <c r="D119" s="17" t="n"/>
      <c r="E119" s="17" t="n"/>
      <c r="F119" s="17" t="n"/>
      <c r="G119" s="17" t="n"/>
      <c r="H119" s="17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 ht="14.25" customHeight="1" s="35">
      <c r="A120" s="18" t="n"/>
      <c r="B120" s="17" t="n"/>
      <c r="C120" s="17" t="n"/>
      <c r="D120" s="17" t="n"/>
      <c r="E120" s="17" t="n"/>
      <c r="F120" s="17" t="n"/>
      <c r="G120" s="17" t="n"/>
      <c r="H120" s="17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 ht="14.25" customHeight="1" s="35">
      <c r="A121" s="18" t="n"/>
      <c r="B121" s="17" t="n"/>
      <c r="C121" s="17" t="n"/>
      <c r="D121" s="17" t="n"/>
      <c r="E121" s="17" t="n"/>
      <c r="F121" s="17" t="n"/>
      <c r="G121" s="17" t="n"/>
      <c r="H121" s="17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 ht="14.25" customHeight="1" s="35">
      <c r="A122" s="18" t="n"/>
      <c r="B122" s="17" t="n"/>
      <c r="C122" s="17" t="n"/>
      <c r="D122" s="17" t="n"/>
      <c r="E122" s="17" t="n"/>
      <c r="F122" s="17" t="n"/>
      <c r="G122" s="17" t="n"/>
      <c r="H122" s="17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 ht="14.25" customHeight="1" s="35">
      <c r="A123" s="18" t="n"/>
      <c r="B123" s="17" t="n"/>
      <c r="C123" s="17" t="n"/>
      <c r="D123" s="17" t="n"/>
      <c r="E123" s="17" t="n"/>
      <c r="F123" s="17" t="n"/>
      <c r="G123" s="17" t="n"/>
      <c r="H123" s="17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 ht="14.25" customHeight="1" s="35">
      <c r="A124" s="18" t="n"/>
      <c r="B124" s="17" t="n"/>
      <c r="C124" s="17" t="n"/>
      <c r="D124" s="17" t="n"/>
      <c r="E124" s="17" t="n"/>
      <c r="F124" s="17" t="n"/>
      <c r="G124" s="17" t="n"/>
      <c r="H124" s="17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 ht="14.25" customHeight="1" s="35">
      <c r="A125" s="18" t="n"/>
      <c r="B125" s="17" t="n"/>
      <c r="C125" s="17" t="n"/>
      <c r="D125" s="17" t="n"/>
      <c r="E125" s="17" t="n"/>
      <c r="F125" s="17" t="n"/>
      <c r="G125" s="17" t="n"/>
      <c r="H125" s="17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 ht="14.25" customHeight="1" s="35">
      <c r="A126" s="18" t="n"/>
      <c r="B126" s="17" t="n"/>
      <c r="C126" s="17" t="n"/>
      <c r="D126" s="17" t="n"/>
      <c r="E126" s="17" t="n"/>
      <c r="F126" s="17" t="n"/>
      <c r="G126" s="17" t="n"/>
      <c r="H126" s="17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 ht="14.25" customHeight="1" s="35">
      <c r="A127" s="18" t="n"/>
      <c r="B127" s="17" t="n"/>
      <c r="C127" s="17" t="n"/>
      <c r="D127" s="17" t="n"/>
      <c r="E127" s="17" t="n"/>
      <c r="F127" s="17" t="n"/>
      <c r="G127" s="17" t="n"/>
      <c r="H127" s="17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 ht="14.25" customHeight="1" s="35">
      <c r="A128" s="18" t="n"/>
      <c r="B128" s="17" t="n"/>
      <c r="C128" s="17" t="n"/>
      <c r="D128" s="17" t="n"/>
      <c r="E128" s="17" t="n"/>
      <c r="F128" s="17" t="n"/>
      <c r="G128" s="17" t="n"/>
      <c r="H128" s="17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 ht="14.25" customHeight="1" s="35">
      <c r="A129" s="18" t="n"/>
      <c r="B129" s="17" t="n"/>
      <c r="C129" s="17" t="n"/>
      <c r="D129" s="17" t="n"/>
      <c r="E129" s="17" t="n"/>
      <c r="F129" s="17" t="n"/>
      <c r="G129" s="17" t="n"/>
      <c r="H129" s="17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 ht="14.25" customHeight="1" s="35">
      <c r="A130" s="18" t="n"/>
      <c r="B130" s="17" t="n"/>
      <c r="C130" s="17" t="n"/>
      <c r="D130" s="17" t="n"/>
      <c r="E130" s="17" t="n"/>
      <c r="F130" s="17" t="n"/>
      <c r="G130" s="17" t="n"/>
      <c r="H130" s="17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 ht="14.25" customHeight="1" s="35">
      <c r="A131" s="18" t="n"/>
      <c r="B131" s="17" t="n"/>
      <c r="C131" s="17" t="n"/>
      <c r="D131" s="17" t="n"/>
      <c r="E131" s="17" t="n"/>
      <c r="F131" s="17" t="n"/>
      <c r="G131" s="17" t="n"/>
      <c r="H131" s="17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 ht="14.25" customHeight="1" s="35">
      <c r="A132" s="18" t="n"/>
      <c r="B132" s="17" t="n"/>
      <c r="C132" s="17" t="n"/>
      <c r="D132" s="17" t="n"/>
      <c r="E132" s="17" t="n"/>
      <c r="F132" s="17" t="n"/>
      <c r="G132" s="17" t="n"/>
      <c r="H132" s="17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 ht="14.25" customHeight="1" s="35">
      <c r="A133" s="18" t="n"/>
      <c r="B133" s="17" t="n"/>
      <c r="C133" s="17" t="n"/>
      <c r="D133" s="17" t="n"/>
      <c r="E133" s="17" t="n"/>
      <c r="F133" s="17" t="n"/>
      <c r="G133" s="17" t="n"/>
      <c r="H133" s="17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 ht="14.25" customHeight="1" s="35">
      <c r="A134" s="18" t="n"/>
      <c r="B134" s="17" t="n"/>
      <c r="C134" s="17" t="n"/>
      <c r="D134" s="17" t="n"/>
      <c r="E134" s="17" t="n"/>
      <c r="F134" s="17" t="n"/>
      <c r="G134" s="17" t="n"/>
      <c r="H134" s="17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 ht="14.25" customHeight="1" s="35">
      <c r="A135" s="18" t="n"/>
      <c r="B135" s="17" t="n"/>
      <c r="C135" s="17" t="n"/>
      <c r="D135" s="17" t="n"/>
      <c r="E135" s="17" t="n"/>
      <c r="F135" s="17" t="n"/>
      <c r="G135" s="17" t="n"/>
      <c r="H135" s="17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4.25" customHeight="1" s="35">
      <c r="A136" s="18" t="n"/>
      <c r="B136" s="17" t="n"/>
      <c r="C136" s="17" t="n"/>
      <c r="D136" s="17" t="n"/>
      <c r="E136" s="17" t="n"/>
      <c r="F136" s="17" t="n"/>
      <c r="G136" s="17" t="n"/>
      <c r="H136" s="17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 ht="14.25" customHeight="1" s="35">
      <c r="A137" s="18" t="n"/>
      <c r="B137" s="17" t="n"/>
      <c r="C137" s="17" t="n"/>
      <c r="D137" s="17" t="n"/>
      <c r="E137" s="17" t="n"/>
      <c r="F137" s="17" t="n"/>
      <c r="G137" s="17" t="n"/>
      <c r="H137" s="17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 ht="14.25" customHeight="1" s="35">
      <c r="A138" s="18" t="n"/>
      <c r="B138" s="17" t="n"/>
      <c r="C138" s="17" t="n"/>
      <c r="D138" s="17" t="n"/>
      <c r="E138" s="17" t="n"/>
      <c r="F138" s="17" t="n"/>
      <c r="G138" s="17" t="n"/>
      <c r="H138" s="17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 ht="14.25" customHeight="1" s="35">
      <c r="A139" s="18" t="n"/>
      <c r="B139" s="17" t="n"/>
      <c r="C139" s="17" t="n"/>
      <c r="D139" s="17" t="n"/>
      <c r="E139" s="17" t="n"/>
      <c r="F139" s="17" t="n"/>
      <c r="G139" s="17" t="n"/>
      <c r="H139" s="17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 ht="14.25" customHeight="1" s="35">
      <c r="A140" s="18" t="n"/>
      <c r="B140" s="17" t="n"/>
      <c r="C140" s="17" t="n"/>
      <c r="D140" s="17" t="n"/>
      <c r="E140" s="17" t="n"/>
      <c r="F140" s="17" t="n"/>
      <c r="G140" s="17" t="n"/>
      <c r="H140" s="17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 ht="14.25" customHeight="1" s="35">
      <c r="A141" s="18" t="n"/>
      <c r="B141" s="17" t="n"/>
      <c r="C141" s="17" t="n"/>
      <c r="D141" s="17" t="n"/>
      <c r="E141" s="17" t="n"/>
      <c r="F141" s="17" t="n"/>
      <c r="G141" s="17" t="n"/>
      <c r="H141" s="17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 ht="14.25" customHeight="1" s="35">
      <c r="A142" s="18" t="n"/>
      <c r="B142" s="17" t="n"/>
      <c r="C142" s="17" t="n"/>
      <c r="D142" s="17" t="n"/>
      <c r="E142" s="17" t="n"/>
      <c r="F142" s="17" t="n"/>
      <c r="G142" s="17" t="n"/>
      <c r="H142" s="17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 ht="14.25" customHeight="1" s="35">
      <c r="A143" s="18" t="n"/>
      <c r="B143" s="17" t="n"/>
      <c r="C143" s="17" t="n"/>
      <c r="D143" s="17" t="n"/>
      <c r="E143" s="17" t="n"/>
      <c r="F143" s="17" t="n"/>
      <c r="G143" s="17" t="n"/>
      <c r="H143" s="17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 ht="14.25" customHeight="1" s="35">
      <c r="A144" s="18" t="n"/>
      <c r="B144" s="17" t="n"/>
      <c r="C144" s="17" t="n"/>
      <c r="D144" s="17" t="n"/>
      <c r="E144" s="17" t="n"/>
      <c r="F144" s="17" t="n"/>
      <c r="G144" s="17" t="n"/>
      <c r="H144" s="17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 ht="14.25" customHeight="1" s="35">
      <c r="A145" s="18" t="n"/>
      <c r="B145" s="17" t="n"/>
      <c r="C145" s="17" t="n"/>
      <c r="D145" s="17" t="n"/>
      <c r="E145" s="17" t="n"/>
      <c r="F145" s="17" t="n"/>
      <c r="G145" s="17" t="n"/>
      <c r="H145" s="17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 ht="14.25" customHeight="1" s="35">
      <c r="A146" s="18" t="n"/>
      <c r="B146" s="17" t="n"/>
      <c r="C146" s="17" t="n"/>
      <c r="D146" s="17" t="n"/>
      <c r="E146" s="17" t="n"/>
      <c r="F146" s="17" t="n"/>
      <c r="G146" s="17" t="n"/>
      <c r="H146" s="17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 ht="14.25" customHeight="1" s="35">
      <c r="A147" s="18" t="n"/>
      <c r="B147" s="17" t="n"/>
      <c r="C147" s="17" t="n"/>
      <c r="D147" s="17" t="n"/>
      <c r="E147" s="17" t="n"/>
      <c r="F147" s="17" t="n"/>
      <c r="G147" s="17" t="n"/>
      <c r="H147" s="17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 ht="14.25" customHeight="1" s="35">
      <c r="A148" s="18" t="n"/>
      <c r="B148" s="17" t="n"/>
      <c r="C148" s="17" t="n"/>
      <c r="D148" s="17" t="n"/>
      <c r="E148" s="17" t="n"/>
      <c r="F148" s="17" t="n"/>
      <c r="G148" s="17" t="n"/>
      <c r="H148" s="17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4.25" customHeight="1" s="35">
      <c r="A149" s="18" t="n"/>
      <c r="B149" s="17" t="n"/>
      <c r="C149" s="17" t="n"/>
      <c r="D149" s="17" t="n"/>
      <c r="E149" s="17" t="n"/>
      <c r="F149" s="17" t="n"/>
      <c r="G149" s="17" t="n"/>
      <c r="H149" s="17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 ht="14.25" customHeight="1" s="35">
      <c r="A150" s="18" t="n"/>
      <c r="B150" s="17" t="n"/>
      <c r="C150" s="17" t="n"/>
      <c r="D150" s="17" t="n"/>
      <c r="E150" s="17" t="n"/>
      <c r="F150" s="17" t="n"/>
      <c r="G150" s="17" t="n"/>
      <c r="H150" s="17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 ht="14.25" customHeight="1" s="35">
      <c r="A151" s="18" t="n"/>
      <c r="B151" s="17" t="n"/>
      <c r="C151" s="17" t="n"/>
      <c r="D151" s="17" t="n"/>
      <c r="E151" s="17" t="n"/>
      <c r="F151" s="17" t="n"/>
      <c r="G151" s="17" t="n"/>
      <c r="H151" s="17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 ht="14.25" customHeight="1" s="35">
      <c r="A152" s="18" t="n"/>
      <c r="B152" s="17" t="n"/>
      <c r="C152" s="17" t="n"/>
      <c r="D152" s="17" t="n"/>
      <c r="E152" s="17" t="n"/>
      <c r="F152" s="17" t="n"/>
      <c r="G152" s="17" t="n"/>
      <c r="H152" s="17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 ht="14.25" customHeight="1" s="35">
      <c r="A153" s="18" t="n"/>
      <c r="B153" s="17" t="n"/>
      <c r="C153" s="17" t="n"/>
      <c r="D153" s="17" t="n"/>
      <c r="E153" s="17" t="n"/>
      <c r="F153" s="17" t="n"/>
      <c r="G153" s="17" t="n"/>
      <c r="H153" s="17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 ht="14.25" customHeight="1" s="35">
      <c r="A154" s="18" t="n"/>
      <c r="B154" s="17" t="n"/>
      <c r="C154" s="17" t="n"/>
      <c r="D154" s="17" t="n"/>
      <c r="E154" s="17" t="n"/>
      <c r="F154" s="17" t="n"/>
      <c r="G154" s="17" t="n"/>
      <c r="H154" s="17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 ht="14.25" customHeight="1" s="35">
      <c r="A155" s="18" t="n"/>
      <c r="B155" s="17" t="n"/>
      <c r="C155" s="17" t="n"/>
      <c r="D155" s="17" t="n"/>
      <c r="E155" s="17" t="n"/>
      <c r="F155" s="17" t="n"/>
      <c r="G155" s="17" t="n"/>
      <c r="H155" s="17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 ht="14.25" customHeight="1" s="35">
      <c r="A156" s="18" t="n"/>
      <c r="B156" s="17" t="n"/>
      <c r="C156" s="17" t="n"/>
      <c r="D156" s="17" t="n"/>
      <c r="E156" s="17" t="n"/>
      <c r="F156" s="17" t="n"/>
      <c r="G156" s="17" t="n"/>
      <c r="H156" s="17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 ht="14.25" customHeight="1" s="35">
      <c r="A157" s="18" t="n"/>
      <c r="B157" s="17" t="n"/>
      <c r="C157" s="17" t="n"/>
      <c r="D157" s="17" t="n"/>
      <c r="E157" s="17" t="n"/>
      <c r="F157" s="17" t="n"/>
      <c r="G157" s="17" t="n"/>
      <c r="H157" s="17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 ht="14.25" customHeight="1" s="35">
      <c r="A158" s="18" t="n"/>
      <c r="B158" s="17" t="n"/>
      <c r="C158" s="17" t="n"/>
      <c r="D158" s="17" t="n"/>
      <c r="E158" s="17" t="n"/>
      <c r="F158" s="17" t="n"/>
      <c r="G158" s="17" t="n"/>
      <c r="H158" s="17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 ht="14.25" customHeight="1" s="35">
      <c r="A159" s="18" t="n"/>
      <c r="B159" s="17" t="n"/>
      <c r="C159" s="17" t="n"/>
      <c r="D159" s="17" t="n"/>
      <c r="E159" s="17" t="n"/>
      <c r="F159" s="17" t="n"/>
      <c r="G159" s="17" t="n"/>
      <c r="H159" s="17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 ht="14.25" customHeight="1" s="35">
      <c r="A160" s="18" t="n"/>
      <c r="B160" s="17" t="n"/>
      <c r="C160" s="17" t="n"/>
      <c r="D160" s="17" t="n"/>
      <c r="E160" s="17" t="n"/>
      <c r="F160" s="17" t="n"/>
      <c r="G160" s="17" t="n"/>
      <c r="H160" s="17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 ht="14.25" customHeight="1" s="35">
      <c r="A161" s="18" t="n"/>
      <c r="B161" s="17" t="n"/>
      <c r="C161" s="17" t="n"/>
      <c r="D161" s="17" t="n"/>
      <c r="E161" s="17" t="n"/>
      <c r="F161" s="17" t="n"/>
      <c r="G161" s="17" t="n"/>
      <c r="H161" s="17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4.25" customHeight="1" s="35">
      <c r="A162" s="18" t="n"/>
      <c r="B162" s="17" t="n"/>
      <c r="C162" s="17" t="n"/>
      <c r="D162" s="17" t="n"/>
      <c r="E162" s="17" t="n"/>
      <c r="F162" s="17" t="n"/>
      <c r="G162" s="17" t="n"/>
      <c r="H162" s="17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 ht="14.25" customHeight="1" s="35">
      <c r="A163" s="18" t="n"/>
      <c r="B163" s="17" t="n"/>
      <c r="C163" s="17" t="n"/>
      <c r="D163" s="17" t="n"/>
      <c r="E163" s="17" t="n"/>
      <c r="F163" s="17" t="n"/>
      <c r="G163" s="17" t="n"/>
      <c r="H163" s="17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 ht="14.25" customHeight="1" s="35">
      <c r="A164" s="18" t="n"/>
      <c r="B164" s="17" t="n"/>
      <c r="C164" s="17" t="n"/>
      <c r="D164" s="17" t="n"/>
      <c r="E164" s="17" t="n"/>
      <c r="F164" s="17" t="n"/>
      <c r="G164" s="17" t="n"/>
      <c r="H164" s="17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 ht="14.25" customHeight="1" s="35">
      <c r="A165" s="18" t="n"/>
      <c r="B165" s="17" t="n"/>
      <c r="C165" s="17" t="n"/>
      <c r="D165" s="17" t="n"/>
      <c r="E165" s="17" t="n"/>
      <c r="F165" s="17" t="n"/>
      <c r="G165" s="17" t="n"/>
      <c r="H165" s="17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 ht="14.25" customHeight="1" s="35">
      <c r="A166" s="18" t="n"/>
      <c r="B166" s="17" t="n"/>
      <c r="C166" s="17" t="n"/>
      <c r="D166" s="17" t="n"/>
      <c r="E166" s="17" t="n"/>
      <c r="F166" s="17" t="n"/>
      <c r="G166" s="17" t="n"/>
      <c r="H166" s="17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 ht="14.25" customHeight="1" s="35">
      <c r="A167" s="18" t="n"/>
      <c r="B167" s="17" t="n"/>
      <c r="C167" s="17" t="n"/>
      <c r="D167" s="17" t="n"/>
      <c r="E167" s="17" t="n"/>
      <c r="F167" s="17" t="n"/>
      <c r="G167" s="17" t="n"/>
      <c r="H167" s="17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 ht="14.25" customHeight="1" s="35">
      <c r="A168" s="18" t="n"/>
      <c r="B168" s="17" t="n"/>
      <c r="C168" s="17" t="n"/>
      <c r="D168" s="17" t="n"/>
      <c r="E168" s="17" t="n"/>
      <c r="F168" s="17" t="n"/>
      <c r="G168" s="17" t="n"/>
      <c r="H168" s="17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 ht="14.25" customHeight="1" s="35">
      <c r="A169" s="18" t="n"/>
      <c r="B169" s="17" t="n"/>
      <c r="C169" s="17" t="n"/>
      <c r="D169" s="17" t="n"/>
      <c r="E169" s="17" t="n"/>
      <c r="F169" s="17" t="n"/>
      <c r="G169" s="17" t="n"/>
      <c r="H169" s="17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 ht="14.25" customHeight="1" s="35">
      <c r="A170" s="18" t="n"/>
      <c r="B170" s="17" t="n"/>
      <c r="C170" s="17" t="n"/>
      <c r="D170" s="17" t="n"/>
      <c r="E170" s="17" t="n"/>
      <c r="F170" s="17" t="n"/>
      <c r="G170" s="17" t="n"/>
      <c r="H170" s="17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 ht="14.25" customHeight="1" s="35">
      <c r="A171" s="18" t="n"/>
      <c r="B171" s="17" t="n"/>
      <c r="C171" s="17" t="n"/>
      <c r="D171" s="17" t="n"/>
      <c r="E171" s="17" t="n"/>
      <c r="F171" s="17" t="n"/>
      <c r="G171" s="17" t="n"/>
      <c r="H171" s="17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 ht="14.25" customHeight="1" s="35">
      <c r="A172" s="18" t="n"/>
      <c r="B172" s="17" t="n"/>
      <c r="C172" s="17" t="n"/>
      <c r="D172" s="17" t="n"/>
      <c r="E172" s="17" t="n"/>
      <c r="F172" s="17" t="n"/>
      <c r="G172" s="17" t="n"/>
      <c r="H172" s="17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 ht="14.25" customHeight="1" s="35">
      <c r="A173" s="18" t="n"/>
      <c r="B173" s="17" t="n"/>
      <c r="C173" s="17" t="n"/>
      <c r="D173" s="17" t="n"/>
      <c r="E173" s="17" t="n"/>
      <c r="F173" s="17" t="n"/>
      <c r="G173" s="17" t="n"/>
      <c r="H173" s="17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 ht="14.25" customHeight="1" s="35">
      <c r="A174" s="18" t="n"/>
      <c r="B174" s="17" t="n"/>
      <c r="C174" s="17" t="n"/>
      <c r="D174" s="17" t="n"/>
      <c r="E174" s="17" t="n"/>
      <c r="F174" s="17" t="n"/>
      <c r="G174" s="17" t="n"/>
      <c r="H174" s="17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 ht="14.25" customHeight="1" s="35">
      <c r="A175" s="18" t="n"/>
      <c r="B175" s="17" t="n"/>
      <c r="C175" s="17" t="n"/>
      <c r="D175" s="17" t="n"/>
      <c r="E175" s="17" t="n"/>
      <c r="F175" s="17" t="n"/>
      <c r="G175" s="17" t="n"/>
      <c r="H175" s="17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 ht="14.25" customHeight="1" s="35">
      <c r="A176" s="18" t="n"/>
      <c r="B176" s="17" t="n"/>
      <c r="C176" s="17" t="n"/>
      <c r="D176" s="17" t="n"/>
      <c r="E176" s="17" t="n"/>
      <c r="F176" s="17" t="n"/>
      <c r="G176" s="17" t="n"/>
      <c r="H176" s="17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 ht="14.25" customHeight="1" s="35">
      <c r="A177" s="18" t="n"/>
      <c r="B177" s="17" t="n"/>
      <c r="C177" s="17" t="n"/>
      <c r="D177" s="17" t="n"/>
      <c r="E177" s="17" t="n"/>
      <c r="F177" s="17" t="n"/>
      <c r="G177" s="17" t="n"/>
      <c r="H177" s="17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 ht="14.25" customHeight="1" s="35">
      <c r="A178" s="18" t="n"/>
      <c r="B178" s="17" t="n"/>
      <c r="C178" s="17" t="n"/>
      <c r="D178" s="17" t="n"/>
      <c r="E178" s="17" t="n"/>
      <c r="F178" s="17" t="n"/>
      <c r="G178" s="17" t="n"/>
      <c r="H178" s="17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 ht="14.25" customHeight="1" s="35">
      <c r="A179" s="18" t="n"/>
      <c r="B179" s="17" t="n"/>
      <c r="C179" s="17" t="n"/>
      <c r="D179" s="17" t="n"/>
      <c r="E179" s="17" t="n"/>
      <c r="F179" s="17" t="n"/>
      <c r="G179" s="17" t="n"/>
      <c r="H179" s="17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 ht="14.25" customHeight="1" s="35">
      <c r="A180" s="18" t="n"/>
      <c r="B180" s="17" t="n"/>
      <c r="C180" s="17" t="n"/>
      <c r="D180" s="17" t="n"/>
      <c r="E180" s="17" t="n"/>
      <c r="F180" s="17" t="n"/>
      <c r="G180" s="17" t="n"/>
      <c r="H180" s="17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 ht="14.25" customHeight="1" s="35">
      <c r="A181" s="18" t="n"/>
      <c r="B181" s="17" t="n"/>
      <c r="C181" s="17" t="n"/>
      <c r="D181" s="17" t="n"/>
      <c r="E181" s="17" t="n"/>
      <c r="F181" s="17" t="n"/>
      <c r="G181" s="17" t="n"/>
      <c r="H181" s="17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 ht="14.25" customHeight="1" s="35">
      <c r="A182" s="18" t="n"/>
      <c r="B182" s="17" t="n"/>
      <c r="C182" s="17" t="n"/>
      <c r="D182" s="17" t="n"/>
      <c r="E182" s="17" t="n"/>
      <c r="F182" s="17" t="n"/>
      <c r="G182" s="17" t="n"/>
      <c r="H182" s="17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 ht="14.25" customHeight="1" s="35">
      <c r="A183" s="18" t="n"/>
      <c r="B183" s="17" t="n"/>
      <c r="C183" s="17" t="n"/>
      <c r="D183" s="17" t="n"/>
      <c r="E183" s="17" t="n"/>
      <c r="F183" s="17" t="n"/>
      <c r="G183" s="17" t="n"/>
      <c r="H183" s="17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 ht="14.25" customHeight="1" s="35">
      <c r="A184" s="18" t="n"/>
      <c r="B184" s="17" t="n"/>
      <c r="C184" s="17" t="n"/>
      <c r="D184" s="17" t="n"/>
      <c r="E184" s="17" t="n"/>
      <c r="F184" s="17" t="n"/>
      <c r="G184" s="17" t="n"/>
      <c r="H184" s="17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 ht="14.25" customHeight="1" s="35">
      <c r="A185" s="18" t="n"/>
      <c r="B185" s="17" t="n"/>
      <c r="C185" s="17" t="n"/>
      <c r="D185" s="17" t="n"/>
      <c r="E185" s="17" t="n"/>
      <c r="F185" s="17" t="n"/>
      <c r="G185" s="17" t="n"/>
      <c r="H185" s="17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 ht="14.25" customHeight="1" s="35">
      <c r="A186" s="18" t="n"/>
      <c r="B186" s="17" t="n"/>
      <c r="C186" s="17" t="n"/>
      <c r="D186" s="17" t="n"/>
      <c r="E186" s="17" t="n"/>
      <c r="F186" s="17" t="n"/>
      <c r="G186" s="17" t="n"/>
      <c r="H186" s="17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 ht="14.25" customHeight="1" s="35">
      <c r="A187" s="18" t="n"/>
      <c r="B187" s="17" t="n"/>
      <c r="C187" s="17" t="n"/>
      <c r="D187" s="17" t="n"/>
      <c r="E187" s="17" t="n"/>
      <c r="F187" s="17" t="n"/>
      <c r="G187" s="17" t="n"/>
      <c r="H187" s="17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 ht="14.25" customHeight="1" s="35">
      <c r="A188" s="18" t="n"/>
      <c r="B188" s="17" t="n"/>
      <c r="C188" s="17" t="n"/>
      <c r="D188" s="17" t="n"/>
      <c r="E188" s="17" t="n"/>
      <c r="F188" s="17" t="n"/>
      <c r="G188" s="17" t="n"/>
      <c r="H188" s="17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 ht="14.25" customHeight="1" s="35">
      <c r="A189" s="18" t="n"/>
      <c r="B189" s="17" t="n"/>
      <c r="C189" s="17" t="n"/>
      <c r="D189" s="17" t="n"/>
      <c r="E189" s="17" t="n"/>
      <c r="F189" s="17" t="n"/>
      <c r="G189" s="17" t="n"/>
      <c r="H189" s="17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 ht="14.25" customHeight="1" s="35">
      <c r="A190" s="18" t="n"/>
      <c r="B190" s="17" t="n"/>
      <c r="C190" s="17" t="n"/>
      <c r="D190" s="17" t="n"/>
      <c r="E190" s="17" t="n"/>
      <c r="F190" s="17" t="n"/>
      <c r="G190" s="17" t="n"/>
      <c r="H190" s="17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 ht="14.25" customHeight="1" s="35">
      <c r="A191" s="18" t="n"/>
      <c r="B191" s="17" t="n"/>
      <c r="C191" s="17" t="n"/>
      <c r="D191" s="17" t="n"/>
      <c r="E191" s="17" t="n"/>
      <c r="F191" s="17" t="n"/>
      <c r="G191" s="17" t="n"/>
      <c r="H191" s="17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 ht="14.25" customHeight="1" s="35">
      <c r="A192" s="18" t="n"/>
      <c r="B192" s="17" t="n"/>
      <c r="C192" s="17" t="n"/>
      <c r="D192" s="17" t="n"/>
      <c r="E192" s="17" t="n"/>
      <c r="F192" s="17" t="n"/>
      <c r="G192" s="17" t="n"/>
      <c r="H192" s="17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 ht="14.25" customHeight="1" s="35">
      <c r="A193" s="18" t="n"/>
      <c r="B193" s="17" t="n"/>
      <c r="C193" s="17" t="n"/>
      <c r="D193" s="17" t="n"/>
      <c r="E193" s="17" t="n"/>
      <c r="F193" s="17" t="n"/>
      <c r="G193" s="17" t="n"/>
      <c r="H193" s="17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 ht="14.25" customHeight="1" s="35">
      <c r="A194" s="18" t="n"/>
      <c r="B194" s="17" t="n"/>
      <c r="C194" s="17" t="n"/>
      <c r="D194" s="17" t="n"/>
      <c r="E194" s="17" t="n"/>
      <c r="F194" s="17" t="n"/>
      <c r="G194" s="17" t="n"/>
      <c r="H194" s="17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 ht="14.25" customHeight="1" s="35">
      <c r="A195" s="18" t="n"/>
      <c r="B195" s="17" t="n"/>
      <c r="C195" s="17" t="n"/>
      <c r="D195" s="17" t="n"/>
      <c r="E195" s="17" t="n"/>
      <c r="F195" s="17" t="n"/>
      <c r="G195" s="17" t="n"/>
      <c r="H195" s="17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 ht="14.25" customHeight="1" s="35">
      <c r="A196" s="18" t="n"/>
      <c r="B196" s="17" t="n"/>
      <c r="C196" s="17" t="n"/>
      <c r="D196" s="17" t="n"/>
      <c r="E196" s="17" t="n"/>
      <c r="F196" s="17" t="n"/>
      <c r="G196" s="17" t="n"/>
      <c r="H196" s="17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 ht="14.25" customHeight="1" s="35">
      <c r="A197" s="18" t="n"/>
      <c r="B197" s="17" t="n"/>
      <c r="C197" s="17" t="n"/>
      <c r="D197" s="17" t="n"/>
      <c r="E197" s="17" t="n"/>
      <c r="F197" s="17" t="n"/>
      <c r="G197" s="17" t="n"/>
      <c r="H197" s="17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 ht="14.25" customHeight="1" s="35">
      <c r="A198" s="18" t="n"/>
      <c r="B198" s="17" t="n"/>
      <c r="C198" s="17" t="n"/>
      <c r="D198" s="17" t="n"/>
      <c r="E198" s="17" t="n"/>
      <c r="F198" s="17" t="n"/>
      <c r="G198" s="17" t="n"/>
      <c r="H198" s="17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 ht="14.25" customHeight="1" s="35">
      <c r="A199" s="18" t="n"/>
      <c r="B199" s="17" t="n"/>
      <c r="C199" s="17" t="n"/>
      <c r="D199" s="17" t="n"/>
      <c r="E199" s="17" t="n"/>
      <c r="F199" s="17" t="n"/>
      <c r="G199" s="17" t="n"/>
      <c r="H199" s="17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 ht="14.25" customHeight="1" s="35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 ht="14.25" customHeight="1" s="35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 ht="14.25" customHeight="1" s="35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4.25" customHeight="1" s="35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 ht="14.25" customHeight="1" s="35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 ht="14.25" customHeight="1" s="35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 ht="14.25" customHeight="1" s="35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 ht="14.25" customHeight="1" s="35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 ht="14.25" customHeight="1" s="35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 ht="14.25" customHeight="1" s="35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 ht="14.25" customHeight="1" s="35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 ht="14.25" customHeight="1" s="35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 ht="14.25" customHeight="1" s="35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 ht="14.25" customHeight="1" s="35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 ht="14.25" customHeight="1" s="35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 ht="14.25" customHeight="1" s="35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 ht="14.25" customHeight="1" s="35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 ht="14.25" customHeight="1" s="35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 ht="14.25" customHeight="1" s="35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 ht="14.25" customHeight="1" s="35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 ht="14.25" customHeight="1" s="35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 ht="14.25" customHeight="1" s="35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 ht="14.25" customHeight="1" s="35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 ht="14.25" customHeight="1" s="35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 ht="14.25" customHeight="1" s="35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 ht="14.25" customHeight="1" s="35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 ht="14.25" customHeight="1" s="35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 ht="14.25" customHeight="1" s="35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 ht="14.25" customHeight="1" s="35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 ht="14.25" customHeight="1" s="35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 ht="14.25" customHeight="1" s="35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 ht="14.25" customHeight="1" s="35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 ht="14.25" customHeight="1" s="35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 ht="14.25" customHeight="1" s="35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 ht="14.25" customHeight="1" s="35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 ht="14.25" customHeight="1" s="35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 ht="14.25" customHeight="1" s="35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 ht="14.25" customHeight="1" s="35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 ht="14.25" customHeight="1" s="35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 ht="14.25" customHeight="1" s="35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 ht="14.25" customHeight="1" s="35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 ht="14.25" customHeight="1" s="35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 ht="14.25" customHeight="1" s="35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 ht="14.25" customHeight="1" s="35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 ht="14.25" customHeight="1" s="35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 ht="14.25" customHeight="1" s="35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 ht="14.25" customHeight="1" s="35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 ht="14.25" customHeight="1" s="35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 ht="14.25" customHeight="1" s="35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 ht="14.25" customHeight="1" s="35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 ht="14.25" customHeight="1" s="35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 ht="14.25" customHeight="1" s="35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 ht="14.25" customHeight="1" s="35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 ht="14.25" customHeight="1" s="35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 ht="14.25" customHeight="1" s="35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 ht="14.25" customHeight="1" s="35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 ht="14.25" customHeight="1" s="35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 ht="14.25" customHeight="1" s="35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 ht="14.25" customHeight="1" s="35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 ht="14.25" customHeight="1" s="35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 ht="14.25" customHeight="1" s="35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 ht="14.25" customHeight="1" s="35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 ht="14.25" customHeight="1" s="35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 ht="14.25" customHeight="1" s="35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 ht="14.25" customHeight="1" s="35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 ht="14.25" customHeight="1" s="35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 ht="14.25" customHeight="1" s="35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 ht="14.25" customHeight="1" s="35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 ht="14.25" customHeight="1" s="35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 ht="14.25" customHeight="1" s="35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 ht="14.25" customHeight="1" s="35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 ht="14.25" customHeight="1" s="35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 ht="14.25" customHeight="1" s="35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 ht="14.25" customHeight="1" s="35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 ht="14.25" customHeight="1" s="35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 ht="14.25" customHeight="1" s="35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 ht="14.25" customHeight="1" s="35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 ht="14.25" customHeight="1" s="35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 ht="14.25" customHeight="1" s="35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 ht="14.25" customHeight="1" s="35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 ht="14.25" customHeight="1" s="35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 ht="14.25" customHeight="1" s="35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 ht="14.25" customHeight="1" s="35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 ht="14.25" customHeight="1" s="35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 ht="14.25" customHeight="1" s="35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 ht="14.25" customHeight="1" s="35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 ht="14.25" customHeight="1" s="35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 ht="14.25" customHeight="1" s="35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 ht="14.25" customHeight="1" s="35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 ht="14.25" customHeight="1" s="35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 ht="14.25" customHeight="1" s="35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 ht="14.25" customHeight="1" s="35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 ht="14.25" customHeight="1" s="35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 ht="14.25" customHeight="1" s="35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 ht="14.25" customHeight="1" s="35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 ht="14.25" customHeight="1" s="35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 ht="14.25" customHeight="1" s="35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 ht="14.25" customHeight="1" s="35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 ht="14.25" customHeight="1" s="35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 ht="14.25" customHeight="1" s="35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 ht="14.25" customHeight="1" s="35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 ht="14.25" customHeight="1" s="35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 ht="14.25" customHeight="1" s="35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 ht="14.25" customHeight="1" s="35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 ht="14.25" customHeight="1" s="35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 ht="14.25" customHeight="1" s="35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 ht="14.25" customHeight="1" s="35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 ht="14.25" customHeight="1" s="35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 ht="14.25" customHeight="1" s="35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 ht="14.25" customHeight="1" s="35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 ht="14.25" customHeight="1" s="35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 ht="14.25" customHeight="1" s="35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 ht="14.25" customHeight="1" s="35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 ht="14.25" customHeight="1" s="35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 ht="14.25" customHeight="1" s="35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 ht="14.25" customHeight="1" s="35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 ht="14.25" customHeight="1" s="35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 ht="14.25" customHeight="1" s="35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 ht="14.25" customHeight="1" s="35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 ht="14.25" customHeight="1" s="35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 ht="14.25" customHeight="1" s="35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 ht="14.25" customHeight="1" s="35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 ht="14.25" customHeight="1" s="35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 ht="14.25" customHeight="1" s="35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 ht="14.25" customHeight="1" s="35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 ht="14.25" customHeight="1" s="35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 ht="14.25" customHeight="1" s="35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 ht="14.25" customHeight="1" s="35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 ht="14.25" customHeight="1" s="35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 ht="14.25" customHeight="1" s="35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 ht="14.25" customHeight="1" s="35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 ht="14.25" customHeight="1" s="35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 ht="14.25" customHeight="1" s="35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 ht="14.25" customHeight="1" s="35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 ht="14.25" customHeight="1" s="35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 ht="14.25" customHeight="1" s="35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 ht="14.25" customHeight="1" s="35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 ht="14.25" customHeight="1" s="35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 ht="14.25" customHeight="1" s="35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 ht="14.25" customHeight="1" s="35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 ht="14.25" customHeight="1" s="35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 ht="14.25" customHeight="1" s="35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 ht="14.25" customHeight="1" s="35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 ht="14.25" customHeight="1" s="35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 ht="14.25" customHeight="1" s="35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 ht="14.25" customHeight="1" s="35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 ht="14.25" customHeight="1" s="35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 ht="14.25" customHeight="1" s="35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 ht="14.25" customHeight="1" s="35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 ht="14.25" customHeight="1" s="35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 ht="14.25" customHeight="1" s="35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 ht="14.25" customHeight="1" s="35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 ht="14.25" customHeight="1" s="35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 ht="14.25" customHeight="1" s="35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 ht="14.25" customHeight="1" s="35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 ht="14.25" customHeight="1" s="35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 ht="14.25" customHeight="1" s="35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 ht="14.25" customHeight="1" s="35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 ht="14.25" customHeight="1" s="35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 ht="14.25" customHeight="1" s="35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 ht="14.25" customHeight="1" s="35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 ht="14.25" customHeight="1" s="35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 ht="14.25" customHeight="1" s="35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 ht="14.25" customHeight="1" s="35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 ht="14.25" customHeight="1" s="35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 ht="14.25" customHeight="1" s="35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 ht="14.25" customHeight="1" s="35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 ht="14.25" customHeight="1" s="35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 ht="14.25" customHeight="1" s="35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 ht="14.25" customHeight="1" s="35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 ht="14.25" customHeight="1" s="35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 ht="14.25" customHeight="1" s="35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 ht="14.25" customHeight="1" s="35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 ht="14.25" customHeight="1" s="35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 ht="14.25" customHeight="1" s="35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 ht="14.25" customHeight="1" s="35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 ht="14.25" customHeight="1" s="35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 ht="14.25" customHeight="1" s="35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 ht="14.25" customHeight="1" s="35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 ht="14.25" customHeight="1" s="35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 ht="14.25" customHeight="1" s="35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 ht="14.25" customHeight="1" s="35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 ht="14.25" customHeight="1" s="35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 ht="14.25" customHeight="1" s="35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 ht="14.25" customHeight="1" s="35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 ht="14.25" customHeight="1" s="35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 ht="14.25" customHeight="1" s="35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 ht="14.25" customHeight="1" s="35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 ht="14.25" customHeight="1" s="35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 ht="14.25" customHeight="1" s="35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 ht="14.25" customHeight="1" s="35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 ht="14.25" customHeight="1" s="35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 ht="14.25" customHeight="1" s="35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 ht="14.25" customHeight="1" s="35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 ht="14.25" customHeight="1" s="35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 ht="14.25" customHeight="1" s="35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 ht="14.25" customHeight="1" s="35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 ht="14.25" customHeight="1" s="35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 ht="14.25" customHeight="1" s="35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 ht="14.25" customHeight="1" s="35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 ht="14.25" customHeight="1" s="35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 ht="14.25" customHeight="1" s="35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 ht="14.25" customHeight="1" s="35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 ht="14.25" customHeight="1" s="35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 ht="14.25" customHeight="1" s="35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 ht="14.25" customHeight="1" s="3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 ht="14.25" customHeight="1" s="35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 ht="14.25" customHeight="1" s="35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 ht="14.25" customHeight="1" s="35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 ht="14.25" customHeight="1" s="35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 ht="14.25" customHeight="1" s="35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 ht="14.25" customHeight="1" s="35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 ht="14.25" customHeight="1" s="35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 ht="14.25" customHeight="1" s="35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 ht="14.25" customHeight="1" s="35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 ht="14.25" customHeight="1" s="3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 ht="14.25" customHeight="1" s="35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 ht="14.25" customHeight="1" s="35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 ht="14.25" customHeight="1" s="35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 ht="14.25" customHeight="1" s="35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 ht="14.25" customHeight="1" s="35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 ht="14.25" customHeight="1" s="35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 ht="14.25" customHeight="1" s="35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 ht="14.25" customHeight="1" s="35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 ht="14.25" customHeight="1" s="35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 ht="14.25" customHeight="1" s="3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 ht="14.25" customHeight="1" s="35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 ht="14.25" customHeight="1" s="35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 ht="14.25" customHeight="1" s="35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 ht="14.25" customHeight="1" s="35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 ht="14.25" customHeight="1" s="35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 ht="14.25" customHeight="1" s="35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 ht="14.25" customHeight="1" s="35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 ht="14.25" customHeight="1" s="35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 ht="14.25" customHeight="1" s="35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 ht="14.25" customHeight="1" s="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 ht="14.25" customHeight="1" s="35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 ht="14.25" customHeight="1" s="35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 ht="14.25" customHeight="1" s="35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 ht="14.25" customHeight="1" s="35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 ht="14.25" customHeight="1" s="35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 ht="14.25" customHeight="1" s="35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 ht="14.25" customHeight="1" s="35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 ht="14.25" customHeight="1" s="35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 ht="14.25" customHeight="1" s="35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 ht="14.25" customHeight="1" s="3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 ht="14.25" customHeight="1" s="35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 ht="14.25" customHeight="1" s="35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 ht="14.25" customHeight="1" s="35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 ht="14.25" customHeight="1" s="35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 ht="14.25" customHeight="1" s="35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 ht="14.25" customHeight="1" s="35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 ht="14.25" customHeight="1" s="35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 ht="14.25" customHeight="1" s="35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 ht="14.25" customHeight="1" s="35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 ht="14.25" customHeight="1" s="3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 ht="14.25" customHeight="1" s="35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 ht="14.25" customHeight="1" s="35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 ht="14.25" customHeight="1" s="35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 ht="14.25" customHeight="1" s="35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 ht="14.25" customHeight="1" s="35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 ht="14.25" customHeight="1" s="35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 ht="14.25" customHeight="1" s="35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 ht="14.25" customHeight="1" s="35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 ht="14.25" customHeight="1" s="35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 ht="14.25" customHeight="1" s="3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4.25" customHeight="1" s="35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4.25" customHeight="1" s="35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4.25" customHeight="1" s="35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4.25" customHeight="1" s="35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4.25" customHeight="1" s="35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4.25" customHeight="1" s="35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4.25" customHeight="1" s="35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4.25" customHeight="1" s="35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4.25" customHeight="1" s="35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4.25" customHeight="1" s="3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4.25" customHeight="1" s="35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4.25" customHeight="1" s="35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4.25" customHeight="1" s="35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4.25" customHeight="1" s="35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4.25" customHeight="1" s="35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4.25" customHeight="1" s="35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4.25" customHeight="1" s="35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4.25" customHeight="1" s="35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4.25" customHeight="1" s="35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4.25" customHeight="1" s="3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4.25" customHeight="1" s="35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4.25" customHeight="1" s="35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4.25" customHeight="1" s="35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4.25" customHeight="1" s="35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4.25" customHeight="1" s="35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4.25" customHeight="1" s="35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4.25" customHeight="1" s="35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4.25" customHeight="1" s="35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4.25" customHeight="1" s="35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4.25" customHeight="1" s="3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4.25" customHeight="1" s="35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4.25" customHeight="1" s="35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4.25" customHeight="1" s="35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4.25" customHeight="1" s="35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4.25" customHeight="1" s="35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4.25" customHeight="1" s="35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4.25" customHeight="1" s="35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4.25" customHeight="1" s="35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4.25" customHeight="1" s="35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4.25" customHeight="1" s="3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4.25" customHeight="1" s="35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4.25" customHeight="1" s="35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4.25" customHeight="1" s="35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4.25" customHeight="1" s="35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4.25" customHeight="1" s="35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4.25" customHeight="1" s="35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4.25" customHeight="1" s="35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4.25" customHeight="1" s="35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4.25" customHeight="1" s="35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4.25" customHeight="1" s="3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4.25" customHeight="1" s="35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4.25" customHeight="1" s="35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4.25" customHeight="1" s="35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4.25" customHeight="1" s="35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4.25" customHeight="1" s="35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4.25" customHeight="1" s="35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4.25" customHeight="1" s="35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4.25" customHeight="1" s="35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4.25" customHeight="1" s="35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4.25" customHeight="1" s="3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4.25" customHeight="1" s="35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4.25" customHeight="1" s="35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4.25" customHeight="1" s="35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4.25" customHeight="1" s="35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4.25" customHeight="1" s="35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4.25" customHeight="1" s="35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4.25" customHeight="1" s="35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4.25" customHeight="1" s="35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4.25" customHeight="1" s="35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4.25" customHeight="1" s="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4.25" customHeight="1" s="35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4.25" customHeight="1" s="35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4.25" customHeight="1" s="35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4.25" customHeight="1" s="35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4.25" customHeight="1" s="35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4.25" customHeight="1" s="35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4.25" customHeight="1" s="35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4.25" customHeight="1" s="35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4.25" customHeight="1" s="35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4.25" customHeight="1" s="3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4.25" customHeight="1" s="35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4.25" customHeight="1" s="35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4.25" customHeight="1" s="35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4.25" customHeight="1" s="35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4.25" customHeight="1" s="35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4.25" customHeight="1" s="35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4.25" customHeight="1" s="35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4.25" customHeight="1" s="35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4.25" customHeight="1" s="35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4.25" customHeight="1" s="3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4.25" customHeight="1" s="35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4.25" customHeight="1" s="35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4.25" customHeight="1" s="35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4.25" customHeight="1" s="35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4.25" customHeight="1" s="35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4.25" customHeight="1" s="35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4.25" customHeight="1" s="35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4.25" customHeight="1" s="35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4.25" customHeight="1" s="35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4.25" customHeight="1" s="3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4.25" customHeight="1" s="35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4.25" customHeight="1" s="35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4.25" customHeight="1" s="35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4.25" customHeight="1" s="35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4.25" customHeight="1" s="35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4.25" customHeight="1" s="35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4.25" customHeight="1" s="35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4.25" customHeight="1" s="35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4.25" customHeight="1" s="35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4.25" customHeight="1" s="3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4.25" customHeight="1" s="35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4.25" customHeight="1" s="35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4.25" customHeight="1" s="35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4.25" customHeight="1" s="35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4.25" customHeight="1" s="35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4.25" customHeight="1" s="35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4.25" customHeight="1" s="35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4.25" customHeight="1" s="35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4.25" customHeight="1" s="35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4.25" customHeight="1" s="3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4.25" customHeight="1" s="35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4.25" customHeight="1" s="35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4.25" customHeight="1" s="35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4.25" customHeight="1" s="35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4.25" customHeight="1" s="35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4.25" customHeight="1" s="35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4.25" customHeight="1" s="35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4.25" customHeight="1" s="35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4.25" customHeight="1" s="35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4.25" customHeight="1" s="3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4.25" customHeight="1" s="35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4.25" customHeight="1" s="35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4.25" customHeight="1" s="35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4.25" customHeight="1" s="35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4.25" customHeight="1" s="35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4.25" customHeight="1" s="35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4.25" customHeight="1" s="35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4.25" customHeight="1" s="35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4.25" customHeight="1" s="35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4.25" customHeight="1" s="3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4.25" customHeight="1" s="35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4.25" customHeight="1" s="35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4.25" customHeight="1" s="35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4.25" customHeight="1" s="35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4.25" customHeight="1" s="35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4.25" customHeight="1" s="35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4.25" customHeight="1" s="35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4.25" customHeight="1" s="35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4.25" customHeight="1" s="35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4.25" customHeight="1" s="3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4.25" customHeight="1" s="35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4.25" customHeight="1" s="35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4.25" customHeight="1" s="35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4.25" customHeight="1" s="35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4.25" customHeight="1" s="35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4.25" customHeight="1" s="35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4.25" customHeight="1" s="35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4.25" customHeight="1" s="35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4.25" customHeight="1" s="35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4.25" customHeight="1" s="3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4.25" customHeight="1" s="35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4.25" customHeight="1" s="35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4.25" customHeight="1" s="35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4.25" customHeight="1" s="35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4.25" customHeight="1" s="35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4.25" customHeight="1" s="35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4.25" customHeight="1" s="35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4.25" customHeight="1" s="35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4.25" customHeight="1" s="35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4.25" customHeight="1" s="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4.25" customHeight="1" s="35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4.25" customHeight="1" s="35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4.25" customHeight="1" s="35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4.25" customHeight="1" s="35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4.25" customHeight="1" s="35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4.25" customHeight="1" s="35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4.25" customHeight="1" s="35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4.25" customHeight="1" s="35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4.25" customHeight="1" s="35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4.25" customHeight="1" s="3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4.25" customHeight="1" s="35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4.25" customHeight="1" s="35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4.25" customHeight="1" s="35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4.25" customHeight="1" s="35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4.25" customHeight="1" s="35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4.25" customHeight="1" s="35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4.25" customHeight="1" s="35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4.25" customHeight="1" s="35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4.25" customHeight="1" s="35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4.25" customHeight="1" s="3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4.25" customHeight="1" s="35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4.25" customHeight="1" s="35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4.25" customHeight="1" s="35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4.25" customHeight="1" s="35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4.25" customHeight="1" s="35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4.25" customHeight="1" s="35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4.25" customHeight="1" s="35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4.25" customHeight="1" s="35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4.25" customHeight="1" s="35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4.25" customHeight="1" s="3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4.25" customHeight="1" s="35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4.25" customHeight="1" s="35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4.25" customHeight="1" s="35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4.25" customHeight="1" s="35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4.25" customHeight="1" s="35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4.25" customHeight="1" s="35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4.25" customHeight="1" s="35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4.25" customHeight="1" s="35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4.25" customHeight="1" s="35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4.25" customHeight="1" s="3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4.25" customHeight="1" s="35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4.25" customHeight="1" s="35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4.25" customHeight="1" s="35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4.25" customHeight="1" s="35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4.25" customHeight="1" s="35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4.25" customHeight="1" s="35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4.25" customHeight="1" s="35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4.25" customHeight="1" s="35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4.25" customHeight="1" s="35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4.25" customHeight="1" s="3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4.25" customHeight="1" s="35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4.25" customHeight="1" s="35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4.25" customHeight="1" s="35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4.25" customHeight="1" s="35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4.25" customHeight="1" s="35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4.25" customHeight="1" s="35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4.25" customHeight="1" s="35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4.25" customHeight="1" s="35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4.25" customHeight="1" s="35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4.25" customHeight="1" s="3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4.25" customHeight="1" s="35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4.25" customHeight="1" s="35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4.25" customHeight="1" s="35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4.25" customHeight="1" s="35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4.25" customHeight="1" s="35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4.25" customHeight="1" s="35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4.25" customHeight="1" s="35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4.25" customHeight="1" s="35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4.25" customHeight="1" s="35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4.25" customHeight="1" s="3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4.25" customHeight="1" s="35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4.25" customHeight="1" s="35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4.25" customHeight="1" s="35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4.25" customHeight="1" s="35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4.25" customHeight="1" s="35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4.25" customHeight="1" s="35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4.25" customHeight="1" s="35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4.25" customHeight="1" s="35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4.25" customHeight="1" s="35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4.25" customHeight="1" s="3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4.25" customHeight="1" s="35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4.25" customHeight="1" s="35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4.25" customHeight="1" s="35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4.25" customHeight="1" s="35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4.25" customHeight="1" s="35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4.25" customHeight="1" s="35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4.25" customHeight="1" s="35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4.25" customHeight="1" s="35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4.25" customHeight="1" s="35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4.25" customHeight="1" s="3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4.25" customHeight="1" s="35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4.25" customHeight="1" s="35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4.25" customHeight="1" s="35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4.25" customHeight="1" s="35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4.25" customHeight="1" s="35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4.25" customHeight="1" s="35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4.25" customHeight="1" s="35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4.25" customHeight="1" s="35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4.25" customHeight="1" s="35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4.25" customHeight="1" s="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4.25" customHeight="1" s="35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4.25" customHeight="1" s="35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4.25" customHeight="1" s="35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4.25" customHeight="1" s="35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4.25" customHeight="1" s="35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4.25" customHeight="1" s="35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4.25" customHeight="1" s="35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4.25" customHeight="1" s="35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4.25" customHeight="1" s="35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4.25" customHeight="1" s="3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4.25" customHeight="1" s="35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4.25" customHeight="1" s="35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4.25" customHeight="1" s="35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4.25" customHeight="1" s="35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4.25" customHeight="1" s="35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4.25" customHeight="1" s="35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4.25" customHeight="1" s="35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4.25" customHeight="1" s="35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4.25" customHeight="1" s="35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4.25" customHeight="1" s="3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4.25" customHeight="1" s="35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4.25" customHeight="1" s="35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4.25" customHeight="1" s="35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4.25" customHeight="1" s="35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4.25" customHeight="1" s="35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4.25" customHeight="1" s="35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4.25" customHeight="1" s="35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4.25" customHeight="1" s="35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4.25" customHeight="1" s="35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4.25" customHeight="1" s="3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4.25" customHeight="1" s="35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4.25" customHeight="1" s="35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4.25" customHeight="1" s="35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4.25" customHeight="1" s="35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4.25" customHeight="1" s="35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4.25" customHeight="1" s="35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4.25" customHeight="1" s="35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4.25" customHeight="1" s="35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4.25" customHeight="1" s="35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4.25" customHeight="1" s="3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4.25" customHeight="1" s="35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4.25" customHeight="1" s="35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4.25" customHeight="1" s="35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4.25" customHeight="1" s="35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4.25" customHeight="1" s="35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4.25" customHeight="1" s="35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4.25" customHeight="1" s="35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4.25" customHeight="1" s="35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4.25" customHeight="1" s="35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4.25" customHeight="1" s="3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4.25" customHeight="1" s="35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4.25" customHeight="1" s="35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4.25" customHeight="1" s="35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4.25" customHeight="1" s="35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4.25" customHeight="1" s="35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4.25" customHeight="1" s="35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4.25" customHeight="1" s="35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4.25" customHeight="1" s="35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4.25" customHeight="1" s="35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4.25" customHeight="1" s="3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4.25" customHeight="1" s="35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4.25" customHeight="1" s="35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4.25" customHeight="1" s="35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4.25" customHeight="1" s="35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4.25" customHeight="1" s="35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4.25" customHeight="1" s="35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4.25" customHeight="1" s="35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4.25" customHeight="1" s="35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4.25" customHeight="1" s="35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4.25" customHeight="1" s="3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4.25" customHeight="1" s="35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4.25" customHeight="1" s="35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4.25" customHeight="1" s="35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4.25" customHeight="1" s="35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4.25" customHeight="1" s="35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4.25" customHeight="1" s="35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4.25" customHeight="1" s="35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4.25" customHeight="1" s="35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4.25" customHeight="1" s="35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4.25" customHeight="1" s="3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4.25" customHeight="1" s="35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4.25" customHeight="1" s="35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4.25" customHeight="1" s="35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4.25" customHeight="1" s="35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4.25" customHeight="1" s="35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4.25" customHeight="1" s="35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4.25" customHeight="1" s="35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4.25" customHeight="1" s="35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4.25" customHeight="1" s="35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4.25" customHeight="1" s="3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4.25" customHeight="1" s="35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4.25" customHeight="1" s="35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4.25" customHeight="1" s="35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4.25" customHeight="1" s="35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4.25" customHeight="1" s="35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4.25" customHeight="1" s="35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4.25" customHeight="1" s="35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4.25" customHeight="1" s="35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4.25" customHeight="1" s="35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4.25" customHeight="1" s="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4.25" customHeight="1" s="35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4.25" customHeight="1" s="35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4.25" customHeight="1" s="35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4.25" customHeight="1" s="35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4.25" customHeight="1" s="35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4.25" customHeight="1" s="35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4.25" customHeight="1" s="35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4.25" customHeight="1" s="35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4.25" customHeight="1" s="35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4.25" customHeight="1" s="3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4.25" customHeight="1" s="35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4.25" customHeight="1" s="35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4.25" customHeight="1" s="35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4.25" customHeight="1" s="35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4.25" customHeight="1" s="35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4.25" customHeight="1" s="35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4.25" customHeight="1" s="35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4.25" customHeight="1" s="35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4.25" customHeight="1" s="35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4.25" customHeight="1" s="3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4.25" customHeight="1" s="35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4.25" customHeight="1" s="35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4.25" customHeight="1" s="35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4.25" customHeight="1" s="35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4.25" customHeight="1" s="35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4.25" customHeight="1" s="35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4.25" customHeight="1" s="35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4.25" customHeight="1" s="35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4.25" customHeight="1" s="35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4.25" customHeight="1" s="3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4.25" customHeight="1" s="35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4.25" customHeight="1" s="35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4.25" customHeight="1" s="35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4.25" customHeight="1" s="35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4.25" customHeight="1" s="35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4.25" customHeight="1" s="35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4.25" customHeight="1" s="35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4.25" customHeight="1" s="35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4.25" customHeight="1" s="35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4.25" customHeight="1" s="3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4.25" customHeight="1" s="35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4.25" customHeight="1" s="35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4.25" customHeight="1" s="35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4.25" customHeight="1" s="35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4.25" customHeight="1" s="35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4.25" customHeight="1" s="35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4.25" customHeight="1" s="35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4.25" customHeight="1" s="35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4.25" customHeight="1" s="35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4.25" customHeight="1" s="3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4.25" customHeight="1" s="35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4.25" customHeight="1" s="35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4.25" customHeight="1" s="35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4.25" customHeight="1" s="35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4.25" customHeight="1" s="35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4.25" customHeight="1" s="35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4.25" customHeight="1" s="35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4.25" customHeight="1" s="35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4.25" customHeight="1" s="35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4.25" customHeight="1" s="3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4.25" customHeight="1" s="35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4.25" customHeight="1" s="35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4.25" customHeight="1" s="35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4.25" customHeight="1" s="35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4.25" customHeight="1" s="35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4.25" customHeight="1" s="35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4.25" customHeight="1" s="35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4.25" customHeight="1" s="35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4.25" customHeight="1" s="35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4.25" customHeight="1" s="3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4.25" customHeight="1" s="35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4.25" customHeight="1" s="35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4.25" customHeight="1" s="35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4.25" customHeight="1" s="35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4.25" customHeight="1" s="35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4.25" customHeight="1" s="35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4.25" customHeight="1" s="35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4.25" customHeight="1" s="35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4.25" customHeight="1" s="35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4.25" customHeight="1" s="3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4.25" customHeight="1" s="35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4.25" customHeight="1" s="35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4.25" customHeight="1" s="35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4.25" customHeight="1" s="35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4.25" customHeight="1" s="35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4.25" customHeight="1" s="35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4.25" customHeight="1" s="35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4.25" customHeight="1" s="35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4.25" customHeight="1" s="35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4.25" customHeight="1" s="3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4.25" customHeight="1" s="35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4.25" customHeight="1" s="35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4.25" customHeight="1" s="35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4.25" customHeight="1" s="35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4.25" customHeight="1" s="35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4.25" customHeight="1" s="35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4.25" customHeight="1" s="35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4.25" customHeight="1" s="35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4.25" customHeight="1" s="35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4.25" customHeight="1" s="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4.25" customHeight="1" s="35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4.25" customHeight="1" s="35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4.25" customHeight="1" s="35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4.25" customHeight="1" s="35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4.25" customHeight="1" s="35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4.25" customHeight="1" s="35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4.25" customHeight="1" s="35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4.25" customHeight="1" s="35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4.25" customHeight="1" s="35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4.25" customHeight="1" s="3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4.25" customHeight="1" s="35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4.25" customHeight="1" s="35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4.25" customHeight="1" s="35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4.25" customHeight="1" s="35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4.25" customHeight="1" s="35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4.25" customHeight="1" s="35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4.25" customHeight="1" s="35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4.25" customHeight="1" s="35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4.25" customHeight="1" s="35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4.25" customHeight="1" s="3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4.25" customHeight="1" s="35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4.25" customHeight="1" s="35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4.25" customHeight="1" s="35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4.25" customHeight="1" s="35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4.25" customHeight="1" s="35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4.25" customHeight="1" s="35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4.25" customHeight="1" s="35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4.25" customHeight="1" s="35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4.25" customHeight="1" s="35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4.25" customHeight="1" s="35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4.25" customHeight="1" s="35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4.25" customHeight="1" s="35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4.25" customHeight="1" s="35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4.25" customHeight="1" s="35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4.25" customHeight="1" s="35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4.25" customHeight="1" s="35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4.25" customHeight="1" s="35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4.25" customHeight="1" s="35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4.25" customHeight="1" s="35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4.25" customHeight="1" s="35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4.25" customHeight="1" s="35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4.25" customHeight="1" s="35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4.25" customHeight="1" s="35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4.25" customHeight="1" s="35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4.25" customHeight="1" s="35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4.25" customHeight="1" s="35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4.25" customHeight="1" s="35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4.25" customHeight="1" s="35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4.25" customHeight="1" s="35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4.25" customHeight="1" s="35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4.25" customHeight="1" s="35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4.25" customHeight="1" s="35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4.25" customHeight="1" s="35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  <row r="989" ht="14.25" customHeight="1" s="35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</row>
    <row r="990" ht="14.25" customHeight="1" s="35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</row>
    <row r="991" ht="14.25" customHeight="1" s="35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</row>
    <row r="992" ht="14.25" customHeight="1" s="35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</row>
    <row r="993" ht="14.25" customHeight="1" s="35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</row>
    <row r="994" ht="14.25" customHeight="1" s="35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</row>
    <row r="995" ht="14.25" customHeight="1" s="35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</row>
    <row r="996" ht="14.25" customHeight="1" s="35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</row>
    <row r="997" ht="14.25" customHeight="1" s="35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</row>
    <row r="998" ht="14.25" customHeight="1" s="35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</row>
    <row r="999" ht="14.25" customHeight="1" s="35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</row>
    <row r="1000" ht="14.25" customHeight="1" s="35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</row>
  </sheetData>
  <dataValidations count="1">
    <dataValidation sqref="B4:B200" showDropDown="0" showInputMessage="0" showErrorMessage="0" allowBlank="1" type="list">
      <formula1>Lists!$A$3:$A$4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5" min="1" max="1"/>
    <col width="39" customWidth="1" style="35" min="2" max="2"/>
    <col width="19" customWidth="1" style="35" min="3" max="3"/>
    <col width="33" customWidth="1" style="35" min="4" max="4"/>
    <col width="25" customWidth="1" style="35" min="5" max="5"/>
    <col width="19" customWidth="1" style="35" min="6" max="6"/>
    <col width="24" customWidth="1" style="35" min="7" max="7"/>
    <col width="14" customWidth="1" style="35" min="8" max="8"/>
    <col width="16" customWidth="1" style="35" min="9" max="9"/>
    <col width="14" customWidth="1" style="35" min="10" max="11"/>
    <col width="26" customWidth="1" style="35" min="12" max="12"/>
    <col width="8.710000000000001" customWidth="1" style="35" min="13" max="26"/>
  </cols>
  <sheetData>
    <row r="1" ht="14.25" customHeight="1" s="35">
      <c r="A1" s="5" t="inlineStr">
        <is>
          <t>Dropdown values (edit here to change the dropdowns; rename interns in column A)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</row>
    <row r="2" ht="14.25" customHeight="1" s="35">
      <c r="A2" s="33" t="inlineStr">
        <is>
          <t>Interns</t>
        </is>
      </c>
      <c r="B2" s="33" t="inlineStr">
        <is>
          <t>Categories</t>
        </is>
      </c>
      <c r="C2" s="33" t="inlineStr">
        <is>
          <t>Authority Kinds</t>
        </is>
      </c>
      <c r="D2" s="33" t="inlineStr">
        <is>
          <t>Source Roles</t>
        </is>
      </c>
      <c r="E2" s="33" t="inlineStr">
        <is>
          <t>Document Types</t>
        </is>
      </c>
      <c r="F2" s="33" t="inlineStr">
        <is>
          <t>Current Status</t>
        </is>
      </c>
      <c r="G2" s="33" t="inlineStr">
        <is>
          <t>Collection Status</t>
        </is>
      </c>
      <c r="H2" s="33" t="inlineStr">
        <is>
          <t>Yes / No</t>
        </is>
      </c>
      <c r="I2" s="33" t="inlineStr">
        <is>
          <t>Feed Types</t>
        </is>
      </c>
      <c r="J2" s="33" t="inlineStr">
        <is>
          <t>QA Status</t>
        </is>
      </c>
      <c r="K2" s="33" t="inlineStr">
        <is>
          <t>Review Cadence</t>
        </is>
      </c>
      <c r="L2" s="33" t="inlineStr">
        <is>
          <t>Authorities</t>
        </is>
      </c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</row>
    <row r="3" ht="14.25" customHeight="1" s="35">
      <c r="A3" s="34" t="inlineStr">
        <is>
          <t>Intern A</t>
        </is>
      </c>
      <c r="B3" s="34" t="inlineStr">
        <is>
          <t>1. Accreditation &amp; Quality</t>
        </is>
      </c>
      <c r="C3" s="34" t="inlineStr">
        <is>
          <t>regulatory</t>
        </is>
      </c>
      <c r="D3" s="34" t="inlineStr">
        <is>
          <t>Mandatory</t>
        </is>
      </c>
      <c r="E3" s="34" t="inlineStr">
        <is>
          <t>Act / Law</t>
        </is>
      </c>
      <c r="F3" s="34" t="inlineStr">
        <is>
          <t>Current</t>
        </is>
      </c>
      <c r="G3" s="34" t="inlineStr">
        <is>
          <t>To find</t>
        </is>
      </c>
      <c r="H3" s="34" t="inlineStr">
        <is>
          <t>Yes</t>
        </is>
      </c>
      <c r="I3" s="34" t="inlineStr">
        <is>
          <t>web_page</t>
        </is>
      </c>
      <c r="J3" s="34" t="inlineStr">
        <is>
          <t>Not checked</t>
        </is>
      </c>
      <c r="K3" s="34" t="n">
        <v>1</v>
      </c>
      <c r="L3" s="34" t="inlineStr">
        <is>
          <t>NAAC</t>
        </is>
      </c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</row>
    <row r="4" ht="14.25" customHeight="1" s="35">
      <c r="A4" s="34" t="inlineStr">
        <is>
          <t>Intern B</t>
        </is>
      </c>
      <c r="B4" s="34" t="inlineStr">
        <is>
          <t>2. Higher-Education Regulation</t>
        </is>
      </c>
      <c r="C4" s="34" t="inlineStr">
        <is>
          <t>accreditation</t>
        </is>
      </c>
      <c r="D4" s="34" t="inlineStr">
        <is>
          <t>Authoritative quality framework</t>
        </is>
      </c>
      <c r="E4" s="34" t="inlineStr">
        <is>
          <t>Rules</t>
        </is>
      </c>
      <c r="F4" s="34" t="inlineStr">
        <is>
          <t>Current (amended)</t>
        </is>
      </c>
      <c r="G4" s="34" t="inlineStr">
        <is>
          <t>Downloaded</t>
        </is>
      </c>
      <c r="H4" s="34" t="inlineStr">
        <is>
          <t>No</t>
        </is>
      </c>
      <c r="I4" s="34" t="inlineStr">
        <is>
          <t>rss</t>
        </is>
      </c>
      <c r="J4" s="34" t="inlineStr">
        <is>
          <t>Verified</t>
        </is>
      </c>
      <c r="K4" s="34" t="n">
        <v>3</v>
      </c>
      <c r="L4" s="34" t="inlineStr">
        <is>
          <t>NBA</t>
        </is>
      </c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</row>
    <row r="5" ht="14.25" customHeight="1" s="35">
      <c r="A5" s="34" t="n"/>
      <c r="B5" s="34" t="inlineStr">
        <is>
          <t>3. Technical, Polytechnic &amp; ITI</t>
        </is>
      </c>
      <c r="C5" s="34" t="inlineStr">
        <is>
          <t>ranking</t>
        </is>
      </c>
      <c r="D5" s="34" t="inlineStr">
        <is>
          <t>Good-practice standard</t>
        </is>
      </c>
      <c r="E5" s="34" t="inlineStr">
        <is>
          <t>Regulation</t>
        </is>
      </c>
      <c r="F5" s="34" t="inlineStr">
        <is>
          <t>Superseded</t>
        </is>
      </c>
      <c r="G5" s="34" t="inlineStr">
        <is>
          <t>Found - link only</t>
        </is>
      </c>
      <c r="H5" s="34" t="n"/>
      <c r="I5" s="34" t="inlineStr">
        <is>
          <t>api</t>
        </is>
      </c>
      <c r="J5" s="34" t="inlineStr">
        <is>
          <t>Needs fix</t>
        </is>
      </c>
      <c r="K5" s="34" t="n">
        <v>6</v>
      </c>
      <c r="L5" s="34" t="inlineStr">
        <is>
          <t>NIRF</t>
        </is>
      </c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</row>
    <row r="6" ht="14.25" customHeight="1" s="35">
      <c r="A6" s="34" t="n"/>
      <c r="B6" s="34" t="inlineStr">
        <is>
          <t>4. Student Protection &amp; Inclusion</t>
        </is>
      </c>
      <c r="C6" s="34" t="inlineStr">
        <is>
          <t>standards_body</t>
        </is>
      </c>
      <c r="D6" s="34" t="inlineStr">
        <is>
          <t>Intelligence signal</t>
        </is>
      </c>
      <c r="E6" s="34" t="inlineStr">
        <is>
          <t>Amendment</t>
        </is>
      </c>
      <c r="F6" s="34" t="inlineStr">
        <is>
          <t>Withdrawn</t>
        </is>
      </c>
      <c r="G6" s="34" t="inlineStr">
        <is>
          <t>Blocked - portal/login</t>
        </is>
      </c>
      <c r="H6" s="34" t="n"/>
      <c r="I6" s="34" t="inlineStr">
        <is>
          <t>document_index</t>
        </is>
      </c>
      <c r="J6" s="34" t="n"/>
      <c r="K6" s="34" t="n">
        <v>12</v>
      </c>
      <c r="L6" s="34" t="inlineStr">
        <is>
          <t>UGC</t>
        </is>
      </c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4.25" customHeight="1" s="35">
      <c r="A7" s="34" t="n"/>
      <c r="B7" s="34" t="inlineStr">
        <is>
          <t>5. Data, Technology &amp; Cybersecurity</t>
        </is>
      </c>
      <c r="C7" s="34" t="inlineStr">
        <is>
          <t>government_policy</t>
        </is>
      </c>
      <c r="D7" s="34" t="n"/>
      <c r="E7" s="34" t="inlineStr">
        <is>
          <t>Notification / Circular</t>
        </is>
      </c>
      <c r="F7" s="34" t="inlineStr">
        <is>
          <t>Draft</t>
        </is>
      </c>
      <c r="G7" s="34" t="inlineStr">
        <is>
          <t>Licensed - link only</t>
        </is>
      </c>
      <c r="H7" s="34" t="n"/>
      <c r="I7" s="34" t="inlineStr">
        <is>
          <t>manual_upload</t>
        </is>
      </c>
      <c r="J7" s="34" t="n"/>
      <c r="K7" s="34" t="n"/>
      <c r="L7" s="34" t="inlineStr">
        <is>
          <t>AICTE</t>
        </is>
      </c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 ht="14.25" customHeight="1" s="35">
      <c r="A8" s="34" t="n"/>
      <c r="B8" s="34" t="inlineStr">
        <is>
          <t>6. AI Readiness &amp; Responsible AI</t>
        </is>
      </c>
      <c r="C8" s="34" t="inlineStr">
        <is>
          <t>ingage_proposed</t>
        </is>
      </c>
      <c r="D8" s="34" t="n"/>
      <c r="E8" s="34" t="inlineStr">
        <is>
          <t>Direction</t>
        </is>
      </c>
      <c r="F8" s="34" t="inlineStr">
        <is>
          <t>Not verified</t>
        </is>
      </c>
      <c r="G8" s="34" t="inlineStr">
        <is>
          <t>Not available</t>
        </is>
      </c>
      <c r="H8" s="34" t="n"/>
      <c r="I8" s="34" t="n"/>
      <c r="J8" s="34" t="n"/>
      <c r="K8" s="34" t="n"/>
      <c r="L8" s="34" t="inlineStr">
        <is>
          <t>DGT</t>
        </is>
      </c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</row>
    <row r="9" ht="14.25" customHeight="1" s="35">
      <c r="A9" s="34" t="n"/>
      <c r="B9" s="34" t="inlineStr">
        <is>
          <t>7. Research, Innovation &amp; Impact</t>
        </is>
      </c>
      <c r="C9" s="34" t="n"/>
      <c r="D9" s="34" t="n"/>
      <c r="E9" s="34" t="inlineStr">
        <is>
          <t>Policy</t>
        </is>
      </c>
      <c r="F9" s="34" t="n"/>
      <c r="G9" s="34" t="n"/>
      <c r="H9" s="34" t="n"/>
      <c r="I9" s="34" t="n"/>
      <c r="J9" s="34" t="n"/>
      <c r="K9" s="34" t="n"/>
      <c r="L9" s="34" t="inlineStr">
        <is>
          <t>NCVET</t>
        </is>
      </c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4.25" customHeight="1" s="35">
      <c r="A10" s="34" t="n"/>
      <c r="B10" s="34" t="inlineStr">
        <is>
          <t>8. Sustainability &amp; Future Technology</t>
        </is>
      </c>
      <c r="C10" s="34" t="n"/>
      <c r="D10" s="34" t="n"/>
      <c r="E10" s="34" t="inlineStr">
        <is>
          <t>Guideline</t>
        </is>
      </c>
      <c r="F10" s="34" t="n"/>
      <c r="G10" s="34" t="n"/>
      <c r="H10" s="34" t="n"/>
      <c r="I10" s="34" t="n"/>
      <c r="J10" s="34" t="n"/>
      <c r="K10" s="34" t="n"/>
      <c r="L10" s="34" t="inlineStr">
        <is>
          <t>Ministry of Education</t>
        </is>
      </c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 ht="14.25" customHeight="1" s="35">
      <c r="A11" s="34" t="n"/>
      <c r="B11" s="34" t="n"/>
      <c r="C11" s="34" t="n"/>
      <c r="D11" s="34" t="n"/>
      <c r="E11" s="34" t="inlineStr">
        <is>
          <t>Handbook</t>
        </is>
      </c>
      <c r="F11" s="34" t="n"/>
      <c r="G11" s="34" t="n"/>
      <c r="H11" s="34" t="n"/>
      <c r="I11" s="34" t="n"/>
      <c r="J11" s="34" t="n"/>
      <c r="K11" s="34" t="n"/>
      <c r="L11" s="34" t="inlineStr">
        <is>
          <t>Academic Bank of Credits</t>
        </is>
      </c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 ht="14.25" customHeight="1" s="35">
      <c r="A12" s="34" t="n"/>
      <c r="B12" s="34" t="n"/>
      <c r="C12" s="34" t="n"/>
      <c r="D12" s="34" t="n"/>
      <c r="E12" s="34" t="inlineStr">
        <is>
          <t>Manual</t>
        </is>
      </c>
      <c r="F12" s="34" t="n"/>
      <c r="G12" s="34" t="n"/>
      <c r="H12" s="34" t="n"/>
      <c r="I12" s="34" t="n"/>
      <c r="J12" s="34" t="n"/>
      <c r="K12" s="34" t="n"/>
      <c r="L12" s="34" t="inlineStr">
        <is>
          <t>MeitY</t>
        </is>
      </c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4.25" customHeight="1" s="35">
      <c r="A13" s="34" t="n"/>
      <c r="B13" s="34" t="n"/>
      <c r="C13" s="34" t="n"/>
      <c r="D13" s="34" t="n"/>
      <c r="E13" s="34" t="inlineStr">
        <is>
          <t>SSR / QIF / SAR</t>
        </is>
      </c>
      <c r="F13" s="34" t="n"/>
      <c r="G13" s="34" t="n"/>
      <c r="H13" s="34" t="n"/>
      <c r="I13" s="34" t="n"/>
      <c r="J13" s="34" t="n"/>
      <c r="K13" s="34" t="n"/>
      <c r="L13" s="34" t="inlineStr">
        <is>
          <t>MeitY/IndiaAI</t>
        </is>
      </c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 ht="14.25" customHeight="1" s="35">
      <c r="A14" s="34" t="n"/>
      <c r="B14" s="34" t="n"/>
      <c r="C14" s="34" t="n"/>
      <c r="D14" s="34" t="n"/>
      <c r="E14" s="34" t="inlineStr">
        <is>
          <t>Data template</t>
        </is>
      </c>
      <c r="F14" s="34" t="n"/>
      <c r="G14" s="34" t="n"/>
      <c r="H14" s="34" t="n"/>
      <c r="I14" s="34" t="n"/>
      <c r="J14" s="34" t="n"/>
      <c r="K14" s="34" t="n"/>
      <c r="L14" s="34" t="inlineStr">
        <is>
          <t>CERT-In</t>
        </is>
      </c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 ht="14.25" customHeight="1" s="35">
      <c r="A15" s="34" t="n"/>
      <c r="B15" s="34" t="n"/>
      <c r="C15" s="34" t="n"/>
      <c r="D15" s="34" t="n"/>
      <c r="E15" s="34" t="inlineStr">
        <is>
          <t>SOP</t>
        </is>
      </c>
      <c r="F15" s="34" t="n"/>
      <c r="G15" s="34" t="n"/>
      <c r="H15" s="34" t="n"/>
      <c r="I15" s="34" t="n"/>
      <c r="J15" s="34" t="n"/>
      <c r="K15" s="34" t="n"/>
      <c r="L15" s="34" t="inlineStr">
        <is>
          <t>Parliament of India</t>
        </is>
      </c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4.25" customHeight="1" s="35">
      <c r="A16" s="34" t="n"/>
      <c r="B16" s="34" t="n"/>
      <c r="C16" s="34" t="n"/>
      <c r="D16" s="34" t="n"/>
      <c r="E16" s="34" t="inlineStr">
        <is>
          <t>Methodology</t>
        </is>
      </c>
      <c r="F16" s="34" t="n"/>
      <c r="G16" s="34" t="n"/>
      <c r="H16" s="34" t="n"/>
      <c r="I16" s="34" t="n"/>
      <c r="J16" s="34" t="n"/>
      <c r="K16" s="34" t="n"/>
      <c r="L16" s="34" t="inlineStr">
        <is>
          <t>ANRF</t>
        </is>
      </c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 ht="14.25" customHeight="1" s="35">
      <c r="A17" s="34" t="n"/>
      <c r="B17" s="34" t="n"/>
      <c r="C17" s="34" t="n"/>
      <c r="D17" s="34" t="n"/>
      <c r="E17" s="34" t="inlineStr">
        <is>
          <t>Framework</t>
        </is>
      </c>
      <c r="F17" s="34" t="n"/>
      <c r="G17" s="34" t="n"/>
      <c r="H17" s="34" t="n"/>
      <c r="I17" s="34" t="n"/>
      <c r="J17" s="34" t="n"/>
      <c r="K17" s="34" t="n"/>
      <c r="L17" s="34" t="inlineStr">
        <is>
          <t>DST</t>
        </is>
      </c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14.25" customHeight="1" s="35">
      <c r="A18" s="34" t="n"/>
      <c r="B18" s="34" t="n"/>
      <c r="C18" s="34" t="n"/>
      <c r="D18" s="34" t="n"/>
      <c r="E18" s="34" t="inlineStr">
        <is>
          <t>Standard</t>
        </is>
      </c>
      <c r="F18" s="34" t="n"/>
      <c r="G18" s="34" t="n"/>
      <c r="H18" s="34" t="n"/>
      <c r="I18" s="34" t="n"/>
      <c r="J18" s="34" t="n"/>
      <c r="K18" s="34" t="n"/>
      <c r="L18" s="34" t="inlineStr">
        <is>
          <t>NIST</t>
        </is>
      </c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 ht="14.25" customHeight="1" s="35">
      <c r="A19" s="34" t="n"/>
      <c r="B19" s="34" t="n"/>
      <c r="C19" s="34" t="n"/>
      <c r="D19" s="34" t="n"/>
      <c r="E19" s="34" t="inlineStr">
        <is>
          <t>Register page</t>
        </is>
      </c>
      <c r="F19" s="34" t="n"/>
      <c r="G19" s="34" t="n"/>
      <c r="H19" s="34" t="n"/>
      <c r="I19" s="34" t="n"/>
      <c r="J19" s="34" t="n"/>
      <c r="K19" s="34" t="n"/>
      <c r="L19" s="34" t="inlineStr">
        <is>
          <t>UNESCO</t>
        </is>
      </c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 ht="14.25" customHeight="1" s="35">
      <c r="A20" s="34" t="n"/>
      <c r="B20" s="34" t="n"/>
      <c r="C20" s="34" t="n"/>
      <c r="D20" s="34" t="n"/>
      <c r="E20" s="34" t="inlineStr">
        <is>
          <t>Portal page</t>
        </is>
      </c>
      <c r="F20" s="34" t="n"/>
      <c r="G20" s="34" t="n"/>
      <c r="H20" s="34" t="n"/>
      <c r="I20" s="34" t="n"/>
      <c r="J20" s="34" t="n"/>
      <c r="K20" s="34" t="n"/>
      <c r="L20" s="34" t="inlineStr">
        <is>
          <t>ISO/IEC</t>
        </is>
      </c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 ht="14.25" customHeight="1" s="35">
      <c r="A21" s="34" t="n"/>
      <c r="B21" s="34" t="n"/>
      <c r="C21" s="34" t="n"/>
      <c r="D21" s="34" t="n"/>
      <c r="E21" s="34" t="inlineStr">
        <is>
          <t>Dataset / Report</t>
        </is>
      </c>
      <c r="F21" s="34" t="n"/>
      <c r="G21" s="34" t="n"/>
      <c r="H21" s="34" t="n"/>
      <c r="I21" s="34" t="n"/>
      <c r="J21" s="34" t="n"/>
      <c r="K21" s="34" t="n"/>
      <c r="L21" s="34" t="inlineStr">
        <is>
          <t>W3C</t>
        </is>
      </c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 ht="14.25" customHeight="1" s="35">
      <c r="A22" s="34" t="n"/>
      <c r="B22" s="34" t="n"/>
      <c r="C22" s="34" t="n"/>
      <c r="D22" s="34" t="n"/>
      <c r="E22" s="34" t="inlineStr">
        <is>
          <t>Other</t>
        </is>
      </c>
      <c r="F22" s="34" t="n"/>
      <c r="G22" s="34" t="n"/>
      <c r="H22" s="34" t="n"/>
      <c r="I22" s="34" t="n"/>
      <c r="J22" s="34" t="n"/>
      <c r="K22" s="34" t="n"/>
      <c r="L22" s="34" t="inlineStr">
        <is>
          <t>1EdTech</t>
        </is>
      </c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 ht="14.25" customHeight="1" s="35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inlineStr">
        <is>
          <t>Khronos Group</t>
        </is>
      </c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 ht="14.25" customHeight="1" s="35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inlineStr">
        <is>
          <t>Other (write in notes)</t>
        </is>
      </c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 ht="14.25" customHeight="1" s="35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 ht="14.25" customHeight="1" s="35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 ht="14.25" customHeight="1" s="35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 ht="14.25" customHeight="1" s="35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 ht="14.25" customHeight="1" s="35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 ht="14.25" customHeight="1" s="35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 ht="14.25" customHeight="1" s="35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 ht="14.25" customHeight="1" s="35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 ht="14.25" customHeight="1" s="35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</row>
    <row r="34" ht="14.25" customHeight="1" s="35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</row>
    <row r="35" ht="14.25" customHeight="1" s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</row>
    <row r="36" ht="14.25" customHeight="1" s="35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</row>
    <row r="37" ht="14.25" customHeight="1" s="35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</row>
    <row r="38" ht="14.25" customHeight="1" s="35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</row>
    <row r="39" ht="14.25" customHeight="1" s="35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</row>
    <row r="40" ht="14.25" customHeight="1" s="35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</row>
    <row r="41" ht="14.25" customHeight="1" s="35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</row>
    <row r="42" ht="14.25" customHeight="1" s="35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 ht="14.25" customHeight="1" s="35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 ht="14.25" customHeight="1" s="35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4.25" customHeight="1" s="35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4.25" customHeight="1" s="35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4.25" customHeight="1" s="35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4.25" customHeight="1" s="35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 ht="14.25" customHeight="1" s="35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 ht="14.25" customHeight="1" s="35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 ht="14.25" customHeight="1" s="35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 ht="14.25" customHeight="1" s="35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 ht="14.25" customHeight="1" s="35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 ht="14.25" customHeight="1" s="35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 ht="14.25" customHeight="1" s="35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 ht="14.25" customHeight="1" s="35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4.25" customHeight="1" s="35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 ht="14.25" customHeight="1" s="35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 ht="14.25" customHeight="1" s="35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 ht="14.25" customHeight="1" s="35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 ht="14.25" customHeight="1" s="35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 ht="14.25" customHeight="1" s="35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 ht="14.25" customHeight="1" s="35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 ht="14.25" customHeight="1" s="35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 ht="14.25" customHeight="1" s="35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 ht="14.25" customHeight="1" s="35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4.25" customHeight="1" s="35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 ht="14.25" customHeight="1" s="35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 ht="14.25" customHeight="1" s="35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 ht="14.25" customHeight="1" s="35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 ht="14.25" customHeight="1" s="35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 ht="14.25" customHeight="1" s="35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 ht="14.25" customHeight="1" s="35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 ht="14.25" customHeight="1" s="35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 ht="14.25" customHeight="1" s="35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4.25" customHeight="1" s="35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 ht="14.25" customHeight="1" s="35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 ht="14.25" customHeight="1" s="35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 ht="14.25" customHeight="1" s="35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 ht="14.25" customHeight="1" s="35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 ht="14.25" customHeight="1" s="35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 ht="14.25" customHeight="1" s="35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 ht="14.25" customHeight="1" s="35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 ht="14.25" customHeight="1" s="35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 ht="14.25" customHeight="1" s="35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 ht="14.25" customHeight="1" s="35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 ht="14.25" customHeight="1" s="35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4.25" customHeight="1" s="35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 ht="14.25" customHeight="1" s="35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 ht="14.25" customHeight="1" s="35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 ht="14.25" customHeight="1" s="35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 ht="14.25" customHeight="1" s="35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 ht="14.25" customHeight="1" s="35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 ht="14.25" customHeight="1" s="35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 ht="14.25" customHeight="1" s="3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 ht="14.25" customHeight="1" s="35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 ht="14.25" customHeight="1" s="35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 ht="14.25" customHeight="1" s="35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 ht="14.25" customHeight="1" s="35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4.25" customHeight="1" s="35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 ht="14.25" customHeight="1" s="35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 ht="14.25" customHeight="1" s="35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 ht="14.25" customHeight="1" s="35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 ht="14.25" customHeight="1" s="35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 ht="14.25" customHeight="1" s="35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 ht="14.25" customHeight="1" s="35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 ht="14.25" customHeight="1" s="35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 ht="14.25" customHeight="1" s="35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4.25" customHeight="1" s="35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 ht="14.25" customHeight="1" s="35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 ht="14.25" customHeight="1" s="35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 ht="14.25" customHeight="1" s="35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 ht="14.25" customHeight="1" s="35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 ht="14.25" customHeight="1" s="35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 ht="14.25" customHeight="1" s="35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 ht="14.25" customHeight="1" s="35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 ht="14.25" customHeight="1" s="35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 ht="14.25" customHeight="1" s="35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 ht="14.25" customHeight="1" s="35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 ht="14.25" customHeight="1" s="35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 ht="14.25" customHeight="1" s="35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 ht="14.25" customHeight="1" s="35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 ht="14.25" customHeight="1" s="35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 ht="14.25" customHeight="1" s="35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 ht="14.25" customHeight="1" s="35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 ht="14.25" customHeight="1" s="35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 ht="14.25" customHeight="1" s="35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 ht="14.25" customHeight="1" s="35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 ht="14.25" customHeight="1" s="35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 ht="14.25" customHeight="1" s="35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 ht="14.25" customHeight="1" s="35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 ht="14.25" customHeight="1" s="35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 ht="14.25" customHeight="1" s="35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 ht="14.25" customHeight="1" s="35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 ht="14.25" customHeight="1" s="35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4.25" customHeight="1" s="35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 ht="14.25" customHeight="1" s="35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 ht="14.25" customHeight="1" s="35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 ht="14.25" customHeight="1" s="35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 ht="14.25" customHeight="1" s="35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 ht="14.25" customHeight="1" s="35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 ht="14.25" customHeight="1" s="35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 ht="14.25" customHeight="1" s="35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 ht="14.25" customHeight="1" s="35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 ht="14.25" customHeight="1" s="35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 ht="14.25" customHeight="1" s="35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 ht="14.25" customHeight="1" s="35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 ht="14.25" customHeight="1" s="35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4.25" customHeight="1" s="35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 ht="14.25" customHeight="1" s="35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 ht="14.25" customHeight="1" s="35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 ht="14.25" customHeight="1" s="35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 ht="14.25" customHeight="1" s="35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 ht="14.25" customHeight="1" s="35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 ht="14.25" customHeight="1" s="35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 ht="14.25" customHeight="1" s="35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 ht="14.25" customHeight="1" s="35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 ht="14.25" customHeight="1" s="35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 ht="14.25" customHeight="1" s="35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 ht="14.25" customHeight="1" s="35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 ht="14.25" customHeight="1" s="35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4.25" customHeight="1" s="35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 ht="14.25" customHeight="1" s="35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 ht="14.25" customHeight="1" s="35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 ht="14.25" customHeight="1" s="35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 ht="14.25" customHeight="1" s="35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 ht="14.25" customHeight="1" s="35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 ht="14.25" customHeight="1" s="35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 ht="14.25" customHeight="1" s="35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 ht="14.25" customHeight="1" s="35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 ht="14.25" customHeight="1" s="35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 ht="14.25" customHeight="1" s="35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 ht="14.25" customHeight="1" s="35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 ht="14.25" customHeight="1" s="35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 ht="14.25" customHeight="1" s="35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 ht="14.25" customHeight="1" s="35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 ht="14.25" customHeight="1" s="35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 ht="14.25" customHeight="1" s="35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 ht="14.25" customHeight="1" s="35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 ht="14.25" customHeight="1" s="35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 ht="14.25" customHeight="1" s="35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 ht="14.25" customHeight="1" s="35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 ht="14.25" customHeight="1" s="35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 ht="14.25" customHeight="1" s="35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 ht="14.25" customHeight="1" s="35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 ht="14.25" customHeight="1" s="35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 ht="14.25" customHeight="1" s="35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 ht="14.25" customHeight="1" s="35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 ht="14.25" customHeight="1" s="35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 ht="14.25" customHeight="1" s="35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 ht="14.25" customHeight="1" s="35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 ht="14.25" customHeight="1" s="35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 ht="14.25" customHeight="1" s="35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 ht="14.25" customHeight="1" s="35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 ht="14.25" customHeight="1" s="35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 ht="14.25" customHeight="1" s="35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 ht="14.25" customHeight="1" s="35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 ht="14.25" customHeight="1" s="35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 ht="14.25" customHeight="1" s="35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 ht="14.25" customHeight="1" s="35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 ht="14.25" customHeight="1" s="35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 ht="14.25" customHeight="1" s="35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4.25" customHeight="1" s="35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 ht="14.25" customHeight="1" s="35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 ht="14.25" customHeight="1" s="35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 ht="14.25" customHeight="1" s="35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 ht="14.25" customHeight="1" s="35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 ht="14.25" customHeight="1" s="35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 ht="14.25" customHeight="1" s="35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 ht="14.25" customHeight="1" s="35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 ht="14.25" customHeight="1" s="35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 ht="14.25" customHeight="1" s="35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 ht="14.25" customHeight="1" s="35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 ht="14.25" customHeight="1" s="35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 ht="14.25" customHeight="1" s="35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 ht="14.25" customHeight="1" s="35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 ht="14.25" customHeight="1" s="35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 ht="14.25" customHeight="1" s="35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 ht="14.25" customHeight="1" s="35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 ht="14.25" customHeight="1" s="35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 ht="14.25" customHeight="1" s="35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 ht="14.25" customHeight="1" s="35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 ht="14.25" customHeight="1" s="35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 ht="14.25" customHeight="1" s="35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 ht="14.25" customHeight="1" s="35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 ht="14.25" customHeight="1" s="35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 ht="14.25" customHeight="1" s="35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 ht="14.25" customHeight="1" s="35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 ht="14.25" customHeight="1" s="35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 ht="14.25" customHeight="1" s="35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 ht="14.25" customHeight="1" s="35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 ht="14.25" customHeight="1" s="35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 ht="14.25" customHeight="1" s="35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 ht="14.25" customHeight="1" s="35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 ht="14.25" customHeight="1" s="35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 ht="14.25" customHeight="1" s="35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 ht="14.25" customHeight="1" s="35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 ht="14.25" customHeight="1" s="35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 ht="14.25" customHeight="1" s="35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 ht="14.25" customHeight="1" s="35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 ht="14.25" customHeight="1" s="35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 ht="14.25" customHeight="1" s="35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 ht="14.25" customHeight="1" s="35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 ht="14.25" customHeight="1" s="35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 ht="14.25" customHeight="1" s="35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 ht="14.25" customHeight="1" s="35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 ht="14.25" customHeight="1" s="35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 ht="14.25" customHeight="1" s="35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 ht="14.25" customHeight="1" s="35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 ht="14.25" customHeight="1" s="35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 ht="14.25" customHeight="1" s="35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 ht="14.25" customHeight="1" s="35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 ht="14.25" customHeight="1" s="35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 ht="14.25" customHeight="1" s="35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 ht="14.25" customHeight="1" s="35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 ht="14.25" customHeight="1" s="35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 ht="14.25" customHeight="1" s="35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 ht="14.25" customHeight="1" s="35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 ht="14.25" customHeight="1" s="35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 ht="14.25" customHeight="1" s="35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 ht="14.25" customHeight="1" s="35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 ht="14.25" customHeight="1" s="35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 ht="14.25" customHeight="1" s="35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 ht="14.25" customHeight="1" s="35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 ht="14.25" customHeight="1" s="35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 ht="14.25" customHeight="1" s="35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 ht="14.25" customHeight="1" s="35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 ht="14.25" customHeight="1" s="35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 ht="14.25" customHeight="1" s="35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 ht="14.25" customHeight="1" s="35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 ht="14.25" customHeight="1" s="35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 ht="14.25" customHeight="1" s="35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 ht="14.25" customHeight="1" s="35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 ht="14.25" customHeight="1" s="35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 ht="14.25" customHeight="1" s="35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 ht="14.25" customHeight="1" s="35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 ht="14.25" customHeight="1" s="35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 ht="14.25" customHeight="1" s="35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 ht="14.25" customHeight="1" s="35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 ht="14.25" customHeight="1" s="35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 ht="14.25" customHeight="1" s="35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 ht="14.25" customHeight="1" s="35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 ht="14.25" customHeight="1" s="35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 ht="14.25" customHeight="1" s="35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 ht="14.25" customHeight="1" s="35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 ht="14.25" customHeight="1" s="35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 ht="14.25" customHeight="1" s="35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 ht="14.25" customHeight="1" s="35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 ht="14.25" customHeight="1" s="35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 ht="14.25" customHeight="1" s="35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 ht="14.25" customHeight="1" s="35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 ht="14.25" customHeight="1" s="35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 ht="14.25" customHeight="1" s="35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 ht="14.25" customHeight="1" s="35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 ht="14.25" customHeight="1" s="35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 ht="14.25" customHeight="1" s="35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 ht="14.25" customHeight="1" s="35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 ht="14.25" customHeight="1" s="35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 ht="14.25" customHeight="1" s="35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 ht="14.25" customHeight="1" s="35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 ht="14.25" customHeight="1" s="35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 ht="14.25" customHeight="1" s="35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 ht="14.25" customHeight="1" s="35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 ht="14.25" customHeight="1" s="35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 ht="14.25" customHeight="1" s="35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 ht="14.25" customHeight="1" s="35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 ht="14.25" customHeight="1" s="35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 ht="14.25" customHeight="1" s="35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 ht="14.25" customHeight="1" s="35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 ht="14.25" customHeight="1" s="35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 ht="14.25" customHeight="1" s="35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 ht="14.25" customHeight="1" s="35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 ht="14.25" customHeight="1" s="35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 ht="14.25" customHeight="1" s="35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 ht="14.25" customHeight="1" s="35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 ht="14.25" customHeight="1" s="35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 ht="14.25" customHeight="1" s="35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 ht="14.25" customHeight="1" s="35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 ht="14.25" customHeight="1" s="35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 ht="14.25" customHeight="1" s="35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 ht="14.25" customHeight="1" s="35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 ht="14.25" customHeight="1" s="35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 ht="14.25" customHeight="1" s="35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 ht="14.25" customHeight="1" s="35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 ht="14.25" customHeight="1" s="35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 ht="14.25" customHeight="1" s="35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 ht="14.25" customHeight="1" s="35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 ht="14.25" customHeight="1" s="35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 ht="14.25" customHeight="1" s="35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 ht="14.25" customHeight="1" s="35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 ht="14.25" customHeight="1" s="35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 ht="14.25" customHeight="1" s="35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 ht="14.25" customHeight="1" s="35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 ht="14.25" customHeight="1" s="35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 ht="14.25" customHeight="1" s="35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 ht="14.25" customHeight="1" s="35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 ht="14.25" customHeight="1" s="35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 ht="14.25" customHeight="1" s="35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 ht="14.25" customHeight="1" s="35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 ht="14.25" customHeight="1" s="35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 ht="14.25" customHeight="1" s="35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 ht="14.25" customHeight="1" s="35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 ht="14.25" customHeight="1" s="35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 ht="14.25" customHeight="1" s="35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 ht="14.25" customHeight="1" s="35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 ht="14.25" customHeight="1" s="35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 ht="14.25" customHeight="1" s="35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 ht="14.25" customHeight="1" s="35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 ht="14.25" customHeight="1" s="35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 ht="14.25" customHeight="1" s="35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 ht="14.25" customHeight="1" s="35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 ht="14.25" customHeight="1" s="35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 ht="14.25" customHeight="1" s="35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 ht="14.25" customHeight="1" s="35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 ht="14.25" customHeight="1" s="35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 ht="14.25" customHeight="1" s="35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 ht="14.25" customHeight="1" s="35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 ht="14.25" customHeight="1" s="35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 ht="14.25" customHeight="1" s="35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 ht="14.25" customHeight="1" s="35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 ht="14.25" customHeight="1" s="35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 ht="14.25" customHeight="1" s="35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 ht="14.25" customHeight="1" s="35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 ht="14.25" customHeight="1" s="35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 ht="14.25" customHeight="1" s="35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 ht="14.25" customHeight="1" s="35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 ht="14.25" customHeight="1" s="35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 ht="14.25" customHeight="1" s="35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 ht="14.25" customHeight="1" s="35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 ht="14.25" customHeight="1" s="35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 ht="14.25" customHeight="1" s="35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 ht="14.25" customHeight="1" s="35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 ht="14.25" customHeight="1" s="35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 ht="14.25" customHeight="1" s="35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 ht="14.25" customHeight="1" s="35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 ht="14.25" customHeight="1" s="35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 ht="14.25" customHeight="1" s="35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 ht="14.25" customHeight="1" s="35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 ht="14.25" customHeight="1" s="35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 ht="14.25" customHeight="1" s="35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 ht="14.25" customHeight="1" s="35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 ht="14.25" customHeight="1" s="35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 ht="14.25" customHeight="1" s="35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 ht="14.25" customHeight="1" s="35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 ht="14.25" customHeight="1" s="35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 ht="14.25" customHeight="1" s="35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 ht="14.25" customHeight="1" s="35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 ht="14.25" customHeight="1" s="35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 ht="14.25" customHeight="1" s="35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 ht="14.25" customHeight="1" s="35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 ht="14.25" customHeight="1" s="35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 ht="14.25" customHeight="1" s="35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 ht="14.25" customHeight="1" s="35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 ht="14.25" customHeight="1" s="35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 ht="14.25" customHeight="1" s="35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 ht="14.25" customHeight="1" s="35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 ht="14.25" customHeight="1" s="35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 ht="14.25" customHeight="1" s="35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 ht="14.25" customHeight="1" s="35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 ht="14.25" customHeight="1" s="35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 ht="14.25" customHeight="1" s="35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 ht="14.25" customHeight="1" s="35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 ht="14.25" customHeight="1" s="35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 ht="14.25" customHeight="1" s="35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 ht="14.25" customHeight="1" s="3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 ht="14.25" customHeight="1" s="35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 ht="14.25" customHeight="1" s="35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 ht="14.25" customHeight="1" s="35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 ht="14.25" customHeight="1" s="35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 ht="14.25" customHeight="1" s="35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 ht="14.25" customHeight="1" s="35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 ht="14.25" customHeight="1" s="35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 ht="14.25" customHeight="1" s="35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 ht="14.25" customHeight="1" s="35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 ht="14.25" customHeight="1" s="3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 ht="14.25" customHeight="1" s="35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 ht="14.25" customHeight="1" s="35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 ht="14.25" customHeight="1" s="35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 ht="14.25" customHeight="1" s="35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 ht="14.25" customHeight="1" s="35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 ht="14.25" customHeight="1" s="35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 ht="14.25" customHeight="1" s="35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 ht="14.25" customHeight="1" s="35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 ht="14.25" customHeight="1" s="35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 ht="14.25" customHeight="1" s="3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 ht="14.25" customHeight="1" s="35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 ht="14.25" customHeight="1" s="35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 ht="14.25" customHeight="1" s="35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 ht="14.25" customHeight="1" s="35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 ht="14.25" customHeight="1" s="35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 ht="14.25" customHeight="1" s="35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 ht="14.25" customHeight="1" s="35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 ht="14.25" customHeight="1" s="35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 ht="14.25" customHeight="1" s="35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 ht="14.25" customHeight="1" s="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 ht="14.25" customHeight="1" s="35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 ht="14.25" customHeight="1" s="35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 ht="14.25" customHeight="1" s="35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 ht="14.25" customHeight="1" s="35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 ht="14.25" customHeight="1" s="35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 ht="14.25" customHeight="1" s="35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 ht="14.25" customHeight="1" s="35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 ht="14.25" customHeight="1" s="35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 ht="14.25" customHeight="1" s="35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 ht="14.25" customHeight="1" s="3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 ht="14.25" customHeight="1" s="35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 ht="14.25" customHeight="1" s="35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 ht="14.25" customHeight="1" s="35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 ht="14.25" customHeight="1" s="35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 ht="14.25" customHeight="1" s="35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 ht="14.25" customHeight="1" s="35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 ht="14.25" customHeight="1" s="35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 ht="14.25" customHeight="1" s="35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 ht="14.25" customHeight="1" s="35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 ht="14.25" customHeight="1" s="3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 ht="14.25" customHeight="1" s="35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 ht="14.25" customHeight="1" s="35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 ht="14.25" customHeight="1" s="35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 ht="14.25" customHeight="1" s="35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 ht="14.25" customHeight="1" s="35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 ht="14.25" customHeight="1" s="35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 ht="14.25" customHeight="1" s="35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 ht="14.25" customHeight="1" s="35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 ht="14.25" customHeight="1" s="35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 ht="14.25" customHeight="1" s="3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4.25" customHeight="1" s="35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4.25" customHeight="1" s="35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4.25" customHeight="1" s="35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4.25" customHeight="1" s="35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4.25" customHeight="1" s="35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4.25" customHeight="1" s="35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4.25" customHeight="1" s="35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4.25" customHeight="1" s="35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4.25" customHeight="1" s="35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4.25" customHeight="1" s="3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4.25" customHeight="1" s="35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4.25" customHeight="1" s="35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4.25" customHeight="1" s="35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4.25" customHeight="1" s="35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4.25" customHeight="1" s="35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4.25" customHeight="1" s="35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4.25" customHeight="1" s="35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4.25" customHeight="1" s="35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4.25" customHeight="1" s="35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4.25" customHeight="1" s="3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4.25" customHeight="1" s="35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4.25" customHeight="1" s="35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4.25" customHeight="1" s="35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4.25" customHeight="1" s="35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4.25" customHeight="1" s="35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4.25" customHeight="1" s="35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4.25" customHeight="1" s="35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4.25" customHeight="1" s="35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4.25" customHeight="1" s="35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4.25" customHeight="1" s="3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4.25" customHeight="1" s="35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4.25" customHeight="1" s="35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4.25" customHeight="1" s="35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4.25" customHeight="1" s="35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4.25" customHeight="1" s="35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4.25" customHeight="1" s="35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4.25" customHeight="1" s="35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4.25" customHeight="1" s="35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4.25" customHeight="1" s="35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4.25" customHeight="1" s="3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4.25" customHeight="1" s="35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4.25" customHeight="1" s="35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4.25" customHeight="1" s="35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4.25" customHeight="1" s="35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4.25" customHeight="1" s="35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4.25" customHeight="1" s="35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4.25" customHeight="1" s="35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4.25" customHeight="1" s="35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4.25" customHeight="1" s="35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4.25" customHeight="1" s="3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4.25" customHeight="1" s="35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4.25" customHeight="1" s="35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4.25" customHeight="1" s="35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4.25" customHeight="1" s="35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4.25" customHeight="1" s="35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4.25" customHeight="1" s="35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4.25" customHeight="1" s="35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4.25" customHeight="1" s="35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4.25" customHeight="1" s="35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4.25" customHeight="1" s="3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4.25" customHeight="1" s="35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4.25" customHeight="1" s="35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4.25" customHeight="1" s="35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4.25" customHeight="1" s="35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4.25" customHeight="1" s="35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4.25" customHeight="1" s="35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4.25" customHeight="1" s="35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4.25" customHeight="1" s="35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4.25" customHeight="1" s="35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4.25" customHeight="1" s="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4.25" customHeight="1" s="35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4.25" customHeight="1" s="35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4.25" customHeight="1" s="35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4.25" customHeight="1" s="35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4.25" customHeight="1" s="35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4.25" customHeight="1" s="35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4.25" customHeight="1" s="35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4.25" customHeight="1" s="35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4.25" customHeight="1" s="35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4.25" customHeight="1" s="3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4.25" customHeight="1" s="35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4.25" customHeight="1" s="35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4.25" customHeight="1" s="35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4.25" customHeight="1" s="35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4.25" customHeight="1" s="35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4.25" customHeight="1" s="35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4.25" customHeight="1" s="35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4.25" customHeight="1" s="35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4.25" customHeight="1" s="35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4.25" customHeight="1" s="3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4.25" customHeight="1" s="35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4.25" customHeight="1" s="35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4.25" customHeight="1" s="35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4.25" customHeight="1" s="35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4.25" customHeight="1" s="35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4.25" customHeight="1" s="35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4.25" customHeight="1" s="35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4.25" customHeight="1" s="35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4.25" customHeight="1" s="35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4.25" customHeight="1" s="3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4.25" customHeight="1" s="35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4.25" customHeight="1" s="35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4.25" customHeight="1" s="35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4.25" customHeight="1" s="35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4.25" customHeight="1" s="35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4.25" customHeight="1" s="35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4.25" customHeight="1" s="35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4.25" customHeight="1" s="35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4.25" customHeight="1" s="35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4.25" customHeight="1" s="3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4.25" customHeight="1" s="35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4.25" customHeight="1" s="35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4.25" customHeight="1" s="35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4.25" customHeight="1" s="35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4.25" customHeight="1" s="35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4.25" customHeight="1" s="35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4.25" customHeight="1" s="35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4.25" customHeight="1" s="35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4.25" customHeight="1" s="35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4.25" customHeight="1" s="3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4.25" customHeight="1" s="35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4.25" customHeight="1" s="35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4.25" customHeight="1" s="35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4.25" customHeight="1" s="35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4.25" customHeight="1" s="35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4.25" customHeight="1" s="35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4.25" customHeight="1" s="35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4.25" customHeight="1" s="35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4.25" customHeight="1" s="35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4.25" customHeight="1" s="3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4.25" customHeight="1" s="35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4.25" customHeight="1" s="35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4.25" customHeight="1" s="35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4.25" customHeight="1" s="35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4.25" customHeight="1" s="35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4.25" customHeight="1" s="35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4.25" customHeight="1" s="35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4.25" customHeight="1" s="35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4.25" customHeight="1" s="35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4.25" customHeight="1" s="3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4.25" customHeight="1" s="35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4.25" customHeight="1" s="35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4.25" customHeight="1" s="35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4.25" customHeight="1" s="35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4.25" customHeight="1" s="35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4.25" customHeight="1" s="35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4.25" customHeight="1" s="35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4.25" customHeight="1" s="35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4.25" customHeight="1" s="35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4.25" customHeight="1" s="3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4.25" customHeight="1" s="35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4.25" customHeight="1" s="35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4.25" customHeight="1" s="35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4.25" customHeight="1" s="35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4.25" customHeight="1" s="35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4.25" customHeight="1" s="35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4.25" customHeight="1" s="35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4.25" customHeight="1" s="35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4.25" customHeight="1" s="35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4.25" customHeight="1" s="3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4.25" customHeight="1" s="35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4.25" customHeight="1" s="35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4.25" customHeight="1" s="35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4.25" customHeight="1" s="35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4.25" customHeight="1" s="35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4.25" customHeight="1" s="35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4.25" customHeight="1" s="35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4.25" customHeight="1" s="35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4.25" customHeight="1" s="35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4.25" customHeight="1" s="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4.25" customHeight="1" s="35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4.25" customHeight="1" s="35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4.25" customHeight="1" s="35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4.25" customHeight="1" s="35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4.25" customHeight="1" s="35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4.25" customHeight="1" s="35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4.25" customHeight="1" s="35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4.25" customHeight="1" s="35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4.25" customHeight="1" s="35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4.25" customHeight="1" s="3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4.25" customHeight="1" s="35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4.25" customHeight="1" s="35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4.25" customHeight="1" s="35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4.25" customHeight="1" s="35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4.25" customHeight="1" s="35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4.25" customHeight="1" s="35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4.25" customHeight="1" s="35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4.25" customHeight="1" s="35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4.25" customHeight="1" s="35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4.25" customHeight="1" s="3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4.25" customHeight="1" s="35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4.25" customHeight="1" s="35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4.25" customHeight="1" s="35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4.25" customHeight="1" s="35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4.25" customHeight="1" s="35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4.25" customHeight="1" s="35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4.25" customHeight="1" s="35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4.25" customHeight="1" s="35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4.25" customHeight="1" s="35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4.25" customHeight="1" s="3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4.25" customHeight="1" s="35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4.25" customHeight="1" s="35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4.25" customHeight="1" s="35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4.25" customHeight="1" s="35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4.25" customHeight="1" s="35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4.25" customHeight="1" s="35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4.25" customHeight="1" s="35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4.25" customHeight="1" s="35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4.25" customHeight="1" s="35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4.25" customHeight="1" s="3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4.25" customHeight="1" s="35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4.25" customHeight="1" s="35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4.25" customHeight="1" s="35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4.25" customHeight="1" s="35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4.25" customHeight="1" s="35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4.25" customHeight="1" s="35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4.25" customHeight="1" s="35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4.25" customHeight="1" s="35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4.25" customHeight="1" s="35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4.25" customHeight="1" s="3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4.25" customHeight="1" s="35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4.25" customHeight="1" s="35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4.25" customHeight="1" s="35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4.25" customHeight="1" s="35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4.25" customHeight="1" s="35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4.25" customHeight="1" s="35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4.25" customHeight="1" s="35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4.25" customHeight="1" s="35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4.25" customHeight="1" s="35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4.25" customHeight="1" s="3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4.25" customHeight="1" s="35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4.25" customHeight="1" s="35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4.25" customHeight="1" s="35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4.25" customHeight="1" s="35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4.25" customHeight="1" s="35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4.25" customHeight="1" s="35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4.25" customHeight="1" s="35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4.25" customHeight="1" s="35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4.25" customHeight="1" s="35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4.25" customHeight="1" s="3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4.25" customHeight="1" s="35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4.25" customHeight="1" s="35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4.25" customHeight="1" s="35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4.25" customHeight="1" s="35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4.25" customHeight="1" s="35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4.25" customHeight="1" s="35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4.25" customHeight="1" s="35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4.25" customHeight="1" s="35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4.25" customHeight="1" s="35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4.25" customHeight="1" s="3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4.25" customHeight="1" s="35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4.25" customHeight="1" s="35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4.25" customHeight="1" s="35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4.25" customHeight="1" s="35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4.25" customHeight="1" s="35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4.25" customHeight="1" s="35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4.25" customHeight="1" s="35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4.25" customHeight="1" s="35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4.25" customHeight="1" s="35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4.25" customHeight="1" s="3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4.25" customHeight="1" s="35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4.25" customHeight="1" s="35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4.25" customHeight="1" s="35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4.25" customHeight="1" s="35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4.25" customHeight="1" s="35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4.25" customHeight="1" s="35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4.25" customHeight="1" s="35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4.25" customHeight="1" s="35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4.25" customHeight="1" s="35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4.25" customHeight="1" s="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4.25" customHeight="1" s="35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4.25" customHeight="1" s="35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4.25" customHeight="1" s="35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4.25" customHeight="1" s="35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4.25" customHeight="1" s="35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4.25" customHeight="1" s="35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4.25" customHeight="1" s="35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4.25" customHeight="1" s="35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4.25" customHeight="1" s="35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4.25" customHeight="1" s="3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4.25" customHeight="1" s="35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4.25" customHeight="1" s="35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4.25" customHeight="1" s="35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4.25" customHeight="1" s="35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4.25" customHeight="1" s="35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4.25" customHeight="1" s="35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4.25" customHeight="1" s="35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4.25" customHeight="1" s="35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4.25" customHeight="1" s="35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4.25" customHeight="1" s="3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4.25" customHeight="1" s="35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4.25" customHeight="1" s="35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4.25" customHeight="1" s="35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4.25" customHeight="1" s="35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4.25" customHeight="1" s="35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4.25" customHeight="1" s="35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4.25" customHeight="1" s="35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4.25" customHeight="1" s="35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4.25" customHeight="1" s="35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4.25" customHeight="1" s="3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4.25" customHeight="1" s="35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4.25" customHeight="1" s="35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4.25" customHeight="1" s="35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4.25" customHeight="1" s="35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4.25" customHeight="1" s="35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4.25" customHeight="1" s="35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4.25" customHeight="1" s="35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4.25" customHeight="1" s="35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4.25" customHeight="1" s="35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4.25" customHeight="1" s="3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4.25" customHeight="1" s="35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4.25" customHeight="1" s="35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4.25" customHeight="1" s="35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4.25" customHeight="1" s="35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4.25" customHeight="1" s="35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4.25" customHeight="1" s="35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4.25" customHeight="1" s="35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4.25" customHeight="1" s="35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4.25" customHeight="1" s="35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4.25" customHeight="1" s="3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4.25" customHeight="1" s="35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4.25" customHeight="1" s="35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4.25" customHeight="1" s="35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4.25" customHeight="1" s="35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4.25" customHeight="1" s="35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4.25" customHeight="1" s="35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4.25" customHeight="1" s="35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4.25" customHeight="1" s="35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4.25" customHeight="1" s="35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4.25" customHeight="1" s="3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4.25" customHeight="1" s="35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4.25" customHeight="1" s="35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4.25" customHeight="1" s="35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4.25" customHeight="1" s="35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4.25" customHeight="1" s="35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4.25" customHeight="1" s="35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4.25" customHeight="1" s="35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4.25" customHeight="1" s="35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4.25" customHeight="1" s="35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4.25" customHeight="1" s="3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4.25" customHeight="1" s="35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4.25" customHeight="1" s="35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4.25" customHeight="1" s="35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4.25" customHeight="1" s="35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4.25" customHeight="1" s="35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4.25" customHeight="1" s="35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4.25" customHeight="1" s="35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4.25" customHeight="1" s="35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4.25" customHeight="1" s="35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4.25" customHeight="1" s="3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4.25" customHeight="1" s="35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4.25" customHeight="1" s="35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4.25" customHeight="1" s="35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4.25" customHeight="1" s="35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4.25" customHeight="1" s="35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4.25" customHeight="1" s="35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4.25" customHeight="1" s="35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4.25" customHeight="1" s="35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4.25" customHeight="1" s="35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4.25" customHeight="1" s="3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4.25" customHeight="1" s="35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4.25" customHeight="1" s="35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4.25" customHeight="1" s="35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4.25" customHeight="1" s="35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4.25" customHeight="1" s="35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4.25" customHeight="1" s="35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4.25" customHeight="1" s="35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4.25" customHeight="1" s="35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4.25" customHeight="1" s="35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4.25" customHeight="1" s="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4.25" customHeight="1" s="35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4.25" customHeight="1" s="35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4.25" customHeight="1" s="35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4.25" customHeight="1" s="35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4.25" customHeight="1" s="35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4.25" customHeight="1" s="35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4.25" customHeight="1" s="35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4.25" customHeight="1" s="35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4.25" customHeight="1" s="35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4.25" customHeight="1" s="3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4.25" customHeight="1" s="35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4.25" customHeight="1" s="35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4.25" customHeight="1" s="35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4.25" customHeight="1" s="35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4.25" customHeight="1" s="35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4.25" customHeight="1" s="35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4.25" customHeight="1" s="35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4.25" customHeight="1" s="35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4.25" customHeight="1" s="35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4.25" customHeight="1" s="3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4.25" customHeight="1" s="35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4.25" customHeight="1" s="35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4.25" customHeight="1" s="35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4.25" customHeight="1" s="35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4.25" customHeight="1" s="35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4.25" customHeight="1" s="35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4.25" customHeight="1" s="35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4.25" customHeight="1" s="35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4.25" customHeight="1" s="35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4.25" customHeight="1" s="3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4.25" customHeight="1" s="35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4.25" customHeight="1" s="35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4.25" customHeight="1" s="35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4.25" customHeight="1" s="35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4.25" customHeight="1" s="35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4.25" customHeight="1" s="35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4.25" customHeight="1" s="35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4.25" customHeight="1" s="35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4.25" customHeight="1" s="35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4.25" customHeight="1" s="3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4.25" customHeight="1" s="35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4.25" customHeight="1" s="35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4.25" customHeight="1" s="35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4.25" customHeight="1" s="35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4.25" customHeight="1" s="35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4.25" customHeight="1" s="35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4.25" customHeight="1" s="35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4.25" customHeight="1" s="35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4.25" customHeight="1" s="35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4.25" customHeight="1" s="3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4.25" customHeight="1" s="35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4.25" customHeight="1" s="35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4.25" customHeight="1" s="35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4.25" customHeight="1" s="35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4.25" customHeight="1" s="35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4.25" customHeight="1" s="35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4.25" customHeight="1" s="35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4.25" customHeight="1" s="35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4.25" customHeight="1" s="35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4.25" customHeight="1" s="3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4.25" customHeight="1" s="35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4.25" customHeight="1" s="35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4.25" customHeight="1" s="35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4.25" customHeight="1" s="35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4.25" customHeight="1" s="35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4.25" customHeight="1" s="35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4.25" customHeight="1" s="35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4.25" customHeight="1" s="35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4.25" customHeight="1" s="35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4.25" customHeight="1" s="3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4.25" customHeight="1" s="35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4.25" customHeight="1" s="35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4.25" customHeight="1" s="35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4.25" customHeight="1" s="35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4.25" customHeight="1" s="35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4.25" customHeight="1" s="35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4.25" customHeight="1" s="35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4.25" customHeight="1" s="35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4.25" customHeight="1" s="35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4.25" customHeight="1" s="3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4.25" customHeight="1" s="35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4.25" customHeight="1" s="35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4.25" customHeight="1" s="35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4.25" customHeight="1" s="35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4.25" customHeight="1" s="35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4.25" customHeight="1" s="35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4.25" customHeight="1" s="35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4.25" customHeight="1" s="35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4.25" customHeight="1" s="35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4.25" customHeight="1" s="3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4.25" customHeight="1" s="35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4.25" customHeight="1" s="35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4.25" customHeight="1" s="35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4.25" customHeight="1" s="35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4.25" customHeight="1" s="35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4.25" customHeight="1" s="35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4.25" customHeight="1" s="35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4.25" customHeight="1" s="35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4.25" customHeight="1" s="35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4.25" customHeight="1" s="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4.25" customHeight="1" s="35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4.25" customHeight="1" s="35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4.25" customHeight="1" s="35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4.25" customHeight="1" s="35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4.25" customHeight="1" s="35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4.25" customHeight="1" s="35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4.25" customHeight="1" s="35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4.25" customHeight="1" s="35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4.25" customHeight="1" s="35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4.25" customHeight="1" s="3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4.25" customHeight="1" s="35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4.25" customHeight="1" s="35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4.25" customHeight="1" s="35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4.25" customHeight="1" s="35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4.25" customHeight="1" s="35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4.25" customHeight="1" s="35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4.25" customHeight="1" s="35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4.25" customHeight="1" s="35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4.25" customHeight="1" s="35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4.25" customHeight="1" s="3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4.25" customHeight="1" s="35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4.25" customHeight="1" s="35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4.25" customHeight="1" s="35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4.25" customHeight="1" s="35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4.25" customHeight="1" s="35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4.25" customHeight="1" s="35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4.25" customHeight="1" s="35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4.25" customHeight="1" s="35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4.25" customHeight="1" s="35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4.25" customHeight="1" s="35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4.25" customHeight="1" s="35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4.25" customHeight="1" s="35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4.25" customHeight="1" s="35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4.25" customHeight="1" s="35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4.25" customHeight="1" s="35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4.25" customHeight="1" s="35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4.25" customHeight="1" s="35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4.25" customHeight="1" s="35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4.25" customHeight="1" s="35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4.25" customHeight="1" s="35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4.25" customHeight="1" s="35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4.25" customHeight="1" s="35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4.25" customHeight="1" s="35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4.25" customHeight="1" s="35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4.25" customHeight="1" s="35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4.25" customHeight="1" s="35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4.25" customHeight="1" s="35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4.25" customHeight="1" s="35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4.25" customHeight="1" s="35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4.25" customHeight="1" s="35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4.25" customHeight="1" s="35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4.25" customHeight="1" s="35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4.25" customHeight="1" s="35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  <row r="989" ht="14.25" customHeight="1" s="35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</row>
    <row r="990" ht="14.25" customHeight="1" s="35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</row>
    <row r="991" ht="14.25" customHeight="1" s="35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</row>
    <row r="992" ht="14.25" customHeight="1" s="35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</row>
    <row r="993" ht="14.25" customHeight="1" s="35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</row>
    <row r="994" ht="14.25" customHeight="1" s="35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</row>
    <row r="995" ht="14.25" customHeight="1" s="35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</row>
    <row r="996" ht="14.25" customHeight="1" s="35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</row>
    <row r="997" ht="14.25" customHeight="1" s="35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</row>
    <row r="998" ht="14.25" customHeight="1" s="35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</row>
    <row r="999" ht="14.25" customHeight="1" s="35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</row>
    <row r="1000" ht="14.25" customHeight="1" s="35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2026-10-12T10:36:21Z</dcterms:created>
  <dcterms:modified xmlns:dcterms="http://purl.org/dc/terms/" xmlns:xsi="http://www.w3.org/2001/XMLSchema-instance" xsi:type="dcterms:W3CDTF">2026-10-12T10:36:25Z</dcterms:modified>
</cp:coreProperties>
</file>