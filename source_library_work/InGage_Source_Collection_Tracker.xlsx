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I READY\source_library_work\"/>
    </mc:Choice>
  </mc:AlternateContent>
  <bookViews>
    <workbookView xWindow="0" yWindow="0" windowWidth="23040" windowHeight="9072"/>
  </bookViews>
  <sheets>
    <sheet name="How to Fill" sheetId="1" r:id="rId1"/>
    <sheet name="Source Register" sheetId="2" r:id="rId2"/>
    <sheet name="Progress" sheetId="3" r:id="rId3"/>
    <sheet name="Watch Feeds" sheetId="4" r:id="rId4"/>
    <sheet name="Benchmark Catalogue" sheetId="5" r:id="rId5"/>
    <sheet name="Daily Log" sheetId="6" r:id="rId6"/>
    <sheet name="Lists" sheetId="7" r:id="rId7"/>
  </sheets>
  <definedNames>
    <definedName name="_xlnm._FilterDatabase" localSheetId="4" hidden="1">'Benchmark Catalogue'!$A$3:$F$63</definedName>
    <definedName name="_xlnm._FilterDatabase" localSheetId="1" hidden="1">'Source Register'!$A$4:$AI$400</definedName>
  </definedNames>
  <calcPr calcId="162913"/>
</workbook>
</file>

<file path=xl/calcChain.xml><?xml version="1.0" encoding="utf-8"?>
<calcChain xmlns="http://schemas.openxmlformats.org/spreadsheetml/2006/main">
  <c r="J21" i="4" l="1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H19" i="3"/>
  <c r="F19" i="3"/>
  <c r="C19" i="3"/>
  <c r="A19" i="3"/>
  <c r="E19" i="3" s="1"/>
  <c r="H18" i="3"/>
  <c r="F18" i="3"/>
  <c r="E18" i="3"/>
  <c r="D18" i="3"/>
  <c r="C18" i="3"/>
  <c r="A18" i="3"/>
  <c r="B18" i="3" s="1"/>
  <c r="I18" i="3" s="1"/>
  <c r="C17" i="3"/>
  <c r="A17" i="3"/>
  <c r="E17" i="3" s="1"/>
  <c r="A16" i="3"/>
  <c r="B16" i="3" s="1"/>
  <c r="H15" i="3"/>
  <c r="F15" i="3"/>
  <c r="C15" i="3"/>
  <c r="A15" i="3"/>
  <c r="E15" i="3" s="1"/>
  <c r="H14" i="3"/>
  <c r="F14" i="3"/>
  <c r="E14" i="3"/>
  <c r="D14" i="3"/>
  <c r="C14" i="3"/>
  <c r="A14" i="3"/>
  <c r="B14" i="3" s="1"/>
  <c r="I14" i="3" s="1"/>
  <c r="C13" i="3"/>
  <c r="B13" i="3"/>
  <c r="I13" i="3" s="1"/>
  <c r="A13" i="3"/>
  <c r="E13" i="3" s="1"/>
  <c r="B12" i="3"/>
  <c r="A12" i="3"/>
  <c r="H12" i="3" s="1"/>
  <c r="H6" i="3"/>
  <c r="F6" i="3"/>
  <c r="E6" i="3"/>
  <c r="D6" i="3"/>
  <c r="A6" i="3"/>
  <c r="C6" i="3" s="1"/>
  <c r="F5" i="3"/>
  <c r="F7" i="3" s="1"/>
  <c r="E5" i="3"/>
  <c r="E7" i="3" s="1"/>
  <c r="D5" i="3"/>
  <c r="D7" i="3" s="1"/>
  <c r="C5" i="3"/>
  <c r="B5" i="3"/>
  <c r="A5" i="3"/>
  <c r="H5" i="3" s="1"/>
  <c r="H7" i="3" s="1"/>
  <c r="AF400" i="2"/>
  <c r="AF399" i="2"/>
  <c r="AF398" i="2"/>
  <c r="AF397" i="2"/>
  <c r="AF396" i="2"/>
  <c r="AF395" i="2"/>
  <c r="AF394" i="2"/>
  <c r="AF393" i="2"/>
  <c r="AF392" i="2"/>
  <c r="AF391" i="2"/>
  <c r="AF390" i="2"/>
  <c r="AF389" i="2"/>
  <c r="AF388" i="2"/>
  <c r="AF387" i="2"/>
  <c r="AF386" i="2"/>
  <c r="AF385" i="2"/>
  <c r="AF384" i="2"/>
  <c r="AF383" i="2"/>
  <c r="AF382" i="2"/>
  <c r="AF381" i="2"/>
  <c r="AF380" i="2"/>
  <c r="AF379" i="2"/>
  <c r="AF378" i="2"/>
  <c r="AF377" i="2"/>
  <c r="AF376" i="2"/>
  <c r="AF375" i="2"/>
  <c r="AF374" i="2"/>
  <c r="AF373" i="2"/>
  <c r="AF372" i="2"/>
  <c r="AF371" i="2"/>
  <c r="AF370" i="2"/>
  <c r="AF369" i="2"/>
  <c r="AF368" i="2"/>
  <c r="AF367" i="2"/>
  <c r="AF366" i="2"/>
  <c r="AF365" i="2"/>
  <c r="AF364" i="2"/>
  <c r="AF363" i="2"/>
  <c r="AF362" i="2"/>
  <c r="AF361" i="2"/>
  <c r="AF360" i="2"/>
  <c r="AF359" i="2"/>
  <c r="AF358" i="2"/>
  <c r="AF357" i="2"/>
  <c r="AF356" i="2"/>
  <c r="AF355" i="2"/>
  <c r="AF354" i="2"/>
  <c r="AF353" i="2"/>
  <c r="AF352" i="2"/>
  <c r="AF351" i="2"/>
  <c r="AF350" i="2"/>
  <c r="AF349" i="2"/>
  <c r="AF348" i="2"/>
  <c r="AF347" i="2"/>
  <c r="AF346" i="2"/>
  <c r="AF345" i="2"/>
  <c r="AF344" i="2"/>
  <c r="AF343" i="2"/>
  <c r="AF342" i="2"/>
  <c r="AF341" i="2"/>
  <c r="AF340" i="2"/>
  <c r="AF339" i="2"/>
  <c r="AF338" i="2"/>
  <c r="AF337" i="2"/>
  <c r="AF336" i="2"/>
  <c r="AF335" i="2"/>
  <c r="AF334" i="2"/>
  <c r="AF333" i="2"/>
  <c r="AF332" i="2"/>
  <c r="AF331" i="2"/>
  <c r="AF330" i="2"/>
  <c r="AF329" i="2"/>
  <c r="AF328" i="2"/>
  <c r="AF327" i="2"/>
  <c r="AF326" i="2"/>
  <c r="AF325" i="2"/>
  <c r="AF324" i="2"/>
  <c r="AF323" i="2"/>
  <c r="AF322" i="2"/>
  <c r="AF321" i="2"/>
  <c r="AF320" i="2"/>
  <c r="AF319" i="2"/>
  <c r="AF318" i="2"/>
  <c r="AF317" i="2"/>
  <c r="AF316" i="2"/>
  <c r="AF315" i="2"/>
  <c r="AF314" i="2"/>
  <c r="AF313" i="2"/>
  <c r="AF312" i="2"/>
  <c r="AF311" i="2"/>
  <c r="AF310" i="2"/>
  <c r="AF309" i="2"/>
  <c r="AF308" i="2"/>
  <c r="AF307" i="2"/>
  <c r="AF306" i="2"/>
  <c r="AF305" i="2"/>
  <c r="AF304" i="2"/>
  <c r="AF303" i="2"/>
  <c r="AF302" i="2"/>
  <c r="AF301" i="2"/>
  <c r="AF300" i="2"/>
  <c r="AF299" i="2"/>
  <c r="AF298" i="2"/>
  <c r="AF297" i="2"/>
  <c r="AF296" i="2"/>
  <c r="AF295" i="2"/>
  <c r="AF294" i="2"/>
  <c r="AF293" i="2"/>
  <c r="AF292" i="2"/>
  <c r="AF291" i="2"/>
  <c r="AF290" i="2"/>
  <c r="AF289" i="2"/>
  <c r="AF288" i="2"/>
  <c r="AF287" i="2"/>
  <c r="AF286" i="2"/>
  <c r="AF285" i="2"/>
  <c r="AF284" i="2"/>
  <c r="AF283" i="2"/>
  <c r="AF282" i="2"/>
  <c r="AF281" i="2"/>
  <c r="AF280" i="2"/>
  <c r="AF279" i="2"/>
  <c r="AF278" i="2"/>
  <c r="AF277" i="2"/>
  <c r="AF276" i="2"/>
  <c r="AF275" i="2"/>
  <c r="AF274" i="2"/>
  <c r="AF273" i="2"/>
  <c r="AF272" i="2"/>
  <c r="AF271" i="2"/>
  <c r="AF270" i="2"/>
  <c r="AF269" i="2"/>
  <c r="AF268" i="2"/>
  <c r="AF267" i="2"/>
  <c r="AF266" i="2"/>
  <c r="AF265" i="2"/>
  <c r="AF264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F238" i="2"/>
  <c r="AF237" i="2"/>
  <c r="AF236" i="2"/>
  <c r="AF235" i="2"/>
  <c r="AF234" i="2"/>
  <c r="AF233" i="2"/>
  <c r="AF232" i="2"/>
  <c r="AF231" i="2"/>
  <c r="AF230" i="2"/>
  <c r="AF229" i="2"/>
  <c r="AF228" i="2"/>
  <c r="AF227" i="2"/>
  <c r="AF226" i="2"/>
  <c r="AF225" i="2"/>
  <c r="AF224" i="2"/>
  <c r="AF223" i="2"/>
  <c r="AF222" i="2"/>
  <c r="AF221" i="2"/>
  <c r="AF220" i="2"/>
  <c r="AF219" i="2"/>
  <c r="AF218" i="2"/>
  <c r="AF217" i="2"/>
  <c r="AF216" i="2"/>
  <c r="AF215" i="2"/>
  <c r="AF214" i="2"/>
  <c r="AF213" i="2"/>
  <c r="AF212" i="2"/>
  <c r="AF211" i="2"/>
  <c r="AF210" i="2"/>
  <c r="AF209" i="2"/>
  <c r="AF208" i="2"/>
  <c r="AF207" i="2"/>
  <c r="AF206" i="2"/>
  <c r="AF205" i="2"/>
  <c r="AF204" i="2"/>
  <c r="AF203" i="2"/>
  <c r="AF202" i="2"/>
  <c r="AF201" i="2"/>
  <c r="AF200" i="2"/>
  <c r="AF199" i="2"/>
  <c r="AF198" i="2"/>
  <c r="AF197" i="2"/>
  <c r="AF196" i="2"/>
  <c r="AF195" i="2"/>
  <c r="AF194" i="2"/>
  <c r="AF193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F148" i="2"/>
  <c r="AF147" i="2"/>
  <c r="AF146" i="2"/>
  <c r="AF145" i="2"/>
  <c r="AF144" i="2"/>
  <c r="AF143" i="2"/>
  <c r="AF142" i="2"/>
  <c r="AF141" i="2"/>
  <c r="AF140" i="2"/>
  <c r="AF139" i="2"/>
  <c r="AF138" i="2"/>
  <c r="AF137" i="2"/>
  <c r="AF136" i="2"/>
  <c r="AF135" i="2"/>
  <c r="AF134" i="2"/>
  <c r="AF133" i="2"/>
  <c r="AF132" i="2"/>
  <c r="AF131" i="2"/>
  <c r="AF130" i="2"/>
  <c r="AF129" i="2"/>
  <c r="AF128" i="2"/>
  <c r="AF127" i="2"/>
  <c r="AF126" i="2"/>
  <c r="AF125" i="2"/>
  <c r="AF124" i="2"/>
  <c r="AF123" i="2"/>
  <c r="AF122" i="2"/>
  <c r="AF121" i="2"/>
  <c r="AF120" i="2"/>
  <c r="AF119" i="2"/>
  <c r="AF118" i="2"/>
  <c r="AF117" i="2"/>
  <c r="AF116" i="2"/>
  <c r="AF115" i="2"/>
  <c r="AF114" i="2"/>
  <c r="AF113" i="2"/>
  <c r="AF112" i="2"/>
  <c r="AF111" i="2"/>
  <c r="AF110" i="2"/>
  <c r="AF109" i="2"/>
  <c r="AF108" i="2"/>
  <c r="AF107" i="2"/>
  <c r="AF106" i="2"/>
  <c r="AF105" i="2"/>
  <c r="AF104" i="2"/>
  <c r="AF103" i="2"/>
  <c r="AF102" i="2"/>
  <c r="AF101" i="2"/>
  <c r="AF100" i="2"/>
  <c r="AF99" i="2"/>
  <c r="AF98" i="2"/>
  <c r="AF97" i="2"/>
  <c r="AF96" i="2"/>
  <c r="AF95" i="2"/>
  <c r="AF94" i="2"/>
  <c r="AF93" i="2"/>
  <c r="AF92" i="2"/>
  <c r="AF91" i="2"/>
  <c r="AF90" i="2"/>
  <c r="AF89" i="2"/>
  <c r="AF88" i="2"/>
  <c r="AF87" i="2"/>
  <c r="G19" i="3" s="1"/>
  <c r="AF86" i="2"/>
  <c r="AF85" i="2"/>
  <c r="AF84" i="2"/>
  <c r="AF83" i="2"/>
  <c r="AF82" i="2"/>
  <c r="AF81" i="2"/>
  <c r="AF80" i="2"/>
  <c r="AF79" i="2"/>
  <c r="AF78" i="2"/>
  <c r="AF77" i="2"/>
  <c r="AF76" i="2"/>
  <c r="AF75" i="2"/>
  <c r="AF74" i="2"/>
  <c r="AF73" i="2"/>
  <c r="AF72" i="2"/>
  <c r="AF71" i="2"/>
  <c r="AF70" i="2"/>
  <c r="AF69" i="2"/>
  <c r="AF68" i="2"/>
  <c r="AF67" i="2"/>
  <c r="AF66" i="2"/>
  <c r="AF65" i="2"/>
  <c r="AF64" i="2"/>
  <c r="AF63" i="2"/>
  <c r="AF62" i="2"/>
  <c r="AF61" i="2"/>
  <c r="AF60" i="2"/>
  <c r="AF59" i="2"/>
  <c r="AF58" i="2"/>
  <c r="AF57" i="2"/>
  <c r="AF56" i="2"/>
  <c r="AF55" i="2"/>
  <c r="AF54" i="2"/>
  <c r="G6" i="3" s="1"/>
  <c r="AF53" i="2"/>
  <c r="G14" i="3" s="1"/>
  <c r="AF52" i="2"/>
  <c r="AF51" i="2"/>
  <c r="AF50" i="2"/>
  <c r="AF49" i="2"/>
  <c r="AF48" i="2"/>
  <c r="AF47" i="2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G15" i="3" s="1"/>
  <c r="AF29" i="2"/>
  <c r="G18" i="3" s="1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G5" i="3" s="1"/>
  <c r="J5" i="3" l="1"/>
  <c r="C7" i="3"/>
  <c r="G7" i="3"/>
  <c r="C12" i="3"/>
  <c r="F13" i="3"/>
  <c r="C16" i="3"/>
  <c r="I16" i="3" s="1"/>
  <c r="F17" i="3"/>
  <c r="I5" i="3"/>
  <c r="B7" i="3"/>
  <c r="D12" i="3"/>
  <c r="G13" i="3"/>
  <c r="D16" i="3"/>
  <c r="G17" i="3"/>
  <c r="E12" i="3"/>
  <c r="H13" i="3"/>
  <c r="H20" i="3" s="1"/>
  <c r="B15" i="3"/>
  <c r="I15" i="3" s="1"/>
  <c r="E16" i="3"/>
  <c r="H17" i="3"/>
  <c r="B19" i="3"/>
  <c r="I19" i="3" s="1"/>
  <c r="F12" i="3"/>
  <c r="F16" i="3"/>
  <c r="B6" i="3"/>
  <c r="G12" i="3"/>
  <c r="G20" i="3" s="1"/>
  <c r="D15" i="3"/>
  <c r="G16" i="3"/>
  <c r="D19" i="3"/>
  <c r="H16" i="3"/>
  <c r="B17" i="3"/>
  <c r="I17" i="3" s="1"/>
  <c r="D13" i="3"/>
  <c r="D17" i="3"/>
  <c r="F20" i="3" l="1"/>
  <c r="C20" i="3"/>
  <c r="I12" i="3"/>
  <c r="E20" i="3"/>
  <c r="J7" i="3"/>
  <c r="I7" i="3"/>
  <c r="I6" i="3"/>
  <c r="J6" i="3"/>
  <c r="D20" i="3"/>
  <c r="B20" i="3"/>
  <c r="I20" i="3" s="1"/>
</calcChain>
</file>

<file path=xl/comments1.xml><?xml version="1.0" encoding="utf-8"?>
<comments xmlns="http://schemas.openxmlformats.org/spreadsheetml/2006/main">
  <authors>
    <author>InGage</author>
  </authors>
  <commentList>
    <comment ref="A4" authorId="0" shapeId="0">
      <text>
        <r>
          <rPr>
            <sz val="11"/>
            <color theme="1"/>
            <rFont val="Calibri"/>
            <family val="2"/>
            <scheme val="minor"/>
          </rPr>
          <t>Fixed ID. Do not change.</t>
        </r>
      </text>
    </comment>
    <comment ref="B4" authorId="0" shapeId="0">
      <text>
        <r>
          <rPr>
            <sz val="11"/>
            <color theme="1"/>
            <rFont val="Calibri"/>
            <family val="2"/>
            <scheme val="minor"/>
          </rPr>
          <t>Who collects this row.</t>
        </r>
      </text>
    </comment>
    <comment ref="C4" authorId="0" shapeId="0">
      <text>
        <r>
          <rPr>
            <sz val="11"/>
            <color theme="1"/>
            <rFont val="Calibri"/>
            <family val="2"/>
            <scheme val="minor"/>
          </rPr>
          <t>One of the 8 library categories.</t>
        </r>
      </text>
    </comment>
    <comment ref="D4" authorId="0" shapeId="0">
      <text>
        <r>
          <rPr>
            <sz val="11"/>
            <color theme="1"/>
            <rFont val="Calibri"/>
            <family val="2"/>
            <scheme val="minor"/>
          </rPr>
          <t>Who publishes it. Pick from the list; use "Other" + notes if missing.</t>
        </r>
      </text>
    </comment>
    <comment ref="E4" authorId="0" shapeId="0">
      <text>
        <r>
          <rPr>
            <sz val="11"/>
            <color theme="1"/>
            <rFont val="Calibri"/>
            <family val="2"/>
            <scheme val="minor"/>
          </rPr>
          <t>Database value: regulatory / accreditation / ranking / standards_body / government_policy / ingage_proposed.</t>
        </r>
      </text>
    </comment>
    <comment ref="F4" authorId="0" shapeId="0">
      <text>
        <r>
          <rPr>
            <sz val="11"/>
            <color theme="1"/>
            <rFont val="Calibri"/>
            <family val="2"/>
            <scheme val="minor"/>
          </rPr>
          <t>Mandatory / Authoritative quality framework / Good-practice standard / Intelligence signal. Supervisor confirms.</t>
        </r>
      </text>
    </comment>
    <comment ref="G4" authorId="0" shapeId="0">
      <text>
        <r>
          <rPr>
            <sz val="11"/>
            <color theme="1"/>
            <rFont val="Calibri"/>
            <family val="2"/>
            <scheme val="minor"/>
          </rPr>
          <t>Unique code, e.g. UGC-023. New version of same document = same code, new row.</t>
        </r>
      </text>
    </comment>
    <comment ref="H4" authorId="0" shapeId="0">
      <text>
        <r>
          <rPr>
            <sz val="11"/>
            <color theme="1"/>
            <rFont val="Calibri"/>
            <family val="2"/>
            <scheme val="minor"/>
          </rPr>
          <t>Copy the title exactly as printed on the document / official page.</t>
        </r>
      </text>
    </comment>
    <comment ref="I4" authorId="0" shapeId="0">
      <text>
        <r>
          <rPr>
            <sz val="11"/>
            <color theme="1"/>
            <rFont val="Calibri"/>
            <family val="2"/>
            <scheme val="minor"/>
          </rPr>
          <t>Act, Rules, Regulation, Manual, SSR/QIF/SAR, Guideline...</t>
        </r>
      </text>
    </comment>
    <comment ref="J4" authorId="0" shapeId="0">
      <text>
        <r>
          <rPr>
            <sz val="11"/>
            <color theme="1"/>
            <rFont val="Calibri"/>
            <family val="2"/>
            <scheme val="minor"/>
          </rPr>
          <t>As printed: year, edition, version no., Gazette no.</t>
        </r>
      </text>
    </comment>
    <comment ref="K4" authorId="0" shapeId="0">
      <text>
        <r>
          <rPr>
            <sz val="11"/>
            <color theme="1"/>
            <rFont val="Calibri"/>
            <family val="2"/>
            <scheme val="minor"/>
          </rPr>
          <t>Date printed on the document (dd-mmm-yyyy).</t>
        </r>
      </text>
    </comment>
    <comment ref="L4" authorId="0" shapeId="0">
      <text>
        <r>
          <rPr>
            <sz val="11"/>
            <color theme="1"/>
            <rFont val="Calibri"/>
            <family val="2"/>
            <scheme val="minor"/>
          </rPr>
          <t>Date it takes effect, if stated. Blank + note if phased.</t>
        </r>
      </text>
    </comment>
    <comment ref="M4" authorId="0" shapeId="0">
      <text>
        <r>
          <rPr>
            <sz val="11"/>
            <color theme="1"/>
            <rFont val="Calibri"/>
            <family val="2"/>
            <scheme val="minor"/>
          </rPr>
          <t>Current / Current (amended) / Superseded / Withdrawn / Draft / Not verified.</t>
        </r>
      </text>
    </comment>
    <comment ref="N4" authorId="0" shapeId="0">
      <text>
        <r>
          <rPr>
            <sz val="11"/>
            <color theme="1"/>
            <rFont val="Calibri"/>
            <family val="2"/>
            <scheme val="minor"/>
          </rPr>
          <t>Source Code + version this replaces or amends.</t>
        </r>
      </text>
    </comment>
    <comment ref="O4" authorId="0" shapeId="0">
      <text>
        <r>
          <rPr>
            <sz val="11"/>
            <color theme="1"/>
            <rFont val="Calibri"/>
            <family val="2"/>
            <scheme val="minor"/>
          </rPr>
          <t>Institution types: University, Autonomous, Affiliated, Engineering, Polytechnic, Arts &amp; Science, ITI, Health sciences, All HEIs...</t>
        </r>
      </text>
    </comment>
    <comment ref="P4" authorId="0" shapeId="0">
      <text>
        <r>
          <rPr>
            <sz val="11"/>
            <color theme="1"/>
            <rFont val="Calibri"/>
            <family val="2"/>
            <scheme val="minor"/>
          </rPr>
          <t>Only if limited to specific programmes or trades.</t>
        </r>
      </text>
    </comment>
    <comment ref="Q4" authorId="0" shapeId="0">
      <text>
        <r>
          <rPr>
            <sz val="11"/>
            <color theme="1"/>
            <rFont val="Calibri"/>
            <family val="2"/>
            <scheme val="minor"/>
          </rPr>
          <t>Official page where the document is listed.</t>
        </r>
      </text>
    </comment>
    <comment ref="R4" authorId="0" shapeId="0">
      <text>
        <r>
          <rPr>
            <sz val="11"/>
            <color theme="1"/>
            <rFont val="Calibri"/>
            <family val="2"/>
            <scheme val="minor"/>
          </rPr>
          <t>Direct link to the PDF / file on the official site.</t>
        </r>
      </text>
    </comment>
    <comment ref="S4" authorId="0" shapeId="0">
      <text>
        <r>
          <rPr>
            <sz val="11"/>
            <color theme="1"/>
            <rFont val="Calibri"/>
            <family val="2"/>
            <scheme val="minor"/>
          </rPr>
          <t>Yes only if both URLs are on the authority's own site (gov.in, nic.in, nbaind.org, nist.gov, unesco.org, iso.org...).</t>
        </r>
      </text>
    </comment>
    <comment ref="T4" authorId="0" shapeId="0">
      <text>
        <r>
          <rPr>
            <sz val="11"/>
            <color theme="1"/>
            <rFont val="Calibri"/>
            <family val="2"/>
            <scheme val="minor"/>
          </rPr>
          <t>To find / Downloaded / Found - link only / Blocked - portal/login / Licensed - link only / Not available.</t>
        </r>
      </text>
    </comment>
    <comment ref="U4" authorId="0" shapeId="0">
      <text>
        <r>
          <rPr>
            <sz val="11"/>
            <color theme="1"/>
            <rFont val="Calibri"/>
            <family val="2"/>
            <scheme val="minor"/>
          </rPr>
          <t>Where you saved it, e.g. 04_Accreditation/NBA_General_Manual_2024.pdf</t>
        </r>
      </text>
    </comment>
    <comment ref="V4" authorId="0" shapeId="0">
      <text>
        <r>
          <rPr>
            <sz val="11"/>
            <color theme="1"/>
            <rFont val="Calibri"/>
            <family val="2"/>
            <scheme val="minor"/>
          </rPr>
          <t>From file properties.</t>
        </r>
      </text>
    </comment>
    <comment ref="W4" authorId="0" shapeId="0">
      <text>
        <r>
          <rPr>
            <sz val="11"/>
            <color theme="1"/>
            <rFont val="Calibri"/>
            <family val="2"/>
            <scheme val="minor"/>
          </rPr>
          <t>PDF page count.</t>
        </r>
      </text>
    </comment>
    <comment ref="X4" authorId="0" shapeId="0">
      <text>
        <r>
          <rPr>
            <sz val="11"/>
            <color theme="1"/>
            <rFont val="Calibri"/>
            <family val="2"/>
            <scheme val="minor"/>
          </rPr>
          <t>PowerShell: Get-FileHash "&lt;file&gt;" -Algorithm SHA256  (64 characters).</t>
        </r>
      </text>
    </comment>
    <comment ref="Y4" authorId="0" shapeId="0">
      <text>
        <r>
          <rPr>
            <sz val="11"/>
            <color theme="1"/>
            <rFont val="Calibri"/>
            <family val="2"/>
            <scheme val="minor"/>
          </rPr>
          <t>Yes for ISO/IEC and other paid standards - never download those.</t>
        </r>
      </text>
    </comment>
    <comment ref="Z4" authorId="0" shapeId="0">
      <text>
        <r>
          <rPr>
            <sz val="11"/>
            <color theme="1"/>
            <rFont val="Calibri"/>
            <family val="2"/>
            <scheme val="minor"/>
          </rPr>
          <t>How often the source should be re-checked: 1, 3, 6 or 12.</t>
        </r>
      </text>
    </comment>
    <comment ref="AA4" authorId="0" shapeId="0">
      <text>
        <r>
          <rPr>
            <sz val="11"/>
            <color theme="1"/>
            <rFont val="Calibri"/>
            <family val="2"/>
            <scheme val="minor"/>
          </rPr>
          <t>For the daily watcher: web_page / rss / api / document_index / manual_upload.</t>
        </r>
      </text>
    </comment>
    <comment ref="AB4" authorId="0" shapeId="0">
      <text>
        <r>
          <rPr>
            <sz val="11"/>
            <color theme="1"/>
            <rFont val="Calibri"/>
            <family val="2"/>
            <scheme val="minor"/>
          </rPr>
          <t>Optional: IDs from the Benchmark Catalogue tab, separated by ";".</t>
        </r>
      </text>
    </comment>
    <comment ref="AC4" authorId="0" shapeId="0">
      <text>
        <r>
          <rPr>
            <sz val="11"/>
            <color theme="1"/>
            <rFont val="Calibri"/>
            <family val="2"/>
            <scheme val="minor"/>
          </rPr>
          <t>Date you completed this row.</t>
        </r>
      </text>
    </comment>
    <comment ref="AD4" authorId="0" shapeId="0">
      <text>
        <r>
          <rPr>
            <sz val="11"/>
            <color theme="1"/>
            <rFont val="Calibri"/>
            <family val="2"/>
            <scheme val="minor"/>
          </rPr>
          <t>Anything unusual: login needed, broken link, phased dates, related documents.</t>
        </r>
      </text>
    </comment>
    <comment ref="AE4" authorId="0" shapeId="0">
      <text>
        <r>
          <rPr>
            <sz val="11"/>
            <color theme="1"/>
            <rFont val="Calibri"/>
            <family val="2"/>
            <scheme val="minor"/>
          </rPr>
          <t>Where to begin searching. Not part of the final data.</t>
        </r>
      </text>
    </comment>
    <comment ref="AF4" authorId="0" shapeId="0">
      <text>
        <r>
          <rPr>
            <sz val="11"/>
            <color theme="1"/>
            <rFont val="Calibri"/>
            <family val="2"/>
            <scheme val="minor"/>
          </rPr>
          <t>Automatic. Must say OK before QA.</t>
        </r>
      </text>
    </comment>
    <comment ref="AG4" authorId="0" shapeId="0">
      <text>
        <r>
          <rPr>
            <sz val="11"/>
            <color theme="1"/>
            <rFont val="Calibri"/>
            <family val="2"/>
            <scheme val="minor"/>
          </rPr>
          <t>Supervisor only.</t>
        </r>
      </text>
    </comment>
    <comment ref="AH4" authorId="0" shapeId="0">
      <text>
        <r>
          <rPr>
            <sz val="11"/>
            <color theme="1"/>
            <rFont val="Calibri"/>
            <family val="2"/>
            <scheme val="minor"/>
          </rPr>
          <t>Supervisor only.</t>
        </r>
      </text>
    </comment>
    <comment ref="AI4" authorId="0" shapeId="0">
      <text>
        <r>
          <rPr>
            <sz val="11"/>
            <color theme="1"/>
            <rFont val="Calibri"/>
            <family val="2"/>
            <scheme val="minor"/>
          </rPr>
          <t>Supervisor only: what to fix.</t>
        </r>
      </text>
    </comment>
    <comment ref="A67" authorId="0" shapeId="0">
      <text>
        <r>
          <rPr>
            <sz val="11"/>
            <color theme="1"/>
            <rFont val="Calibri"/>
            <family val="2"/>
            <scheme val="minor"/>
          </rPr>
          <t>Worked example: every field filled the way we want it. Copy this style.</t>
        </r>
      </text>
    </comment>
  </commentList>
</comments>
</file>

<file path=xl/comments2.xml><?xml version="1.0" encoding="utf-8"?>
<comments xmlns="http://schemas.openxmlformats.org/spreadsheetml/2006/main">
  <authors>
    <author>InGage</author>
  </authors>
  <commentList>
    <comment ref="A4" authorId="0" shapeId="0">
      <text>
        <r>
          <rPr>
            <sz val="11"/>
            <color theme="1"/>
            <rFont val="Calibri"/>
            <family val="2"/>
            <scheme val="minor"/>
          </rPr>
          <t>Example line - replace with real entries.</t>
        </r>
      </text>
    </comment>
  </commentList>
</comments>
</file>

<file path=xl/sharedStrings.xml><?xml version="1.0" encoding="utf-8"?>
<sst xmlns="http://schemas.openxmlformats.org/spreadsheetml/2006/main" count="2492" uniqueCount="1164">
  <si>
    <t>InGage Source Library - Intern Collection Guide</t>
  </si>
  <si>
    <t>Goal: find every official source document, record exact details, save the official file, and prove it is the official version. This sheet becomes the database Source Library.</t>
  </si>
  <si>
    <t>Your daily routine</t>
  </si>
  <si>
    <t>Step 1</t>
  </si>
  <si>
    <t>Open the Source Register tab and filter "Assigned To" to your name. Work top to bottom.</t>
  </si>
  <si>
    <t>Step 2</t>
  </si>
  <si>
    <t>For each row: start from "Start Here (hint)" or the Watch Feeds tab, find the document on the OFFICIAL site.</t>
  </si>
  <si>
    <t>Step 3</t>
  </si>
  <si>
    <t>Download the file in your browser. Save it in the shared folder under the category folder (e.g. 04_Accreditation). Name: Authority_Short_Title_Year.pdf, e.g. UGC_PhD_Regulations_2022.pdf</t>
  </si>
  <si>
    <t>Step 4</t>
  </si>
  <si>
    <t>Fill every blue column. Get the SHA-256 in PowerShell: Get-FileHash "D:\path\file.pdf" -Algorithm SHA256</t>
  </si>
  <si>
    <t>Step 5</t>
  </si>
  <si>
    <t>Keep going until "Row Check" says OK. Then the supervisor verifies it (orange columns).</t>
  </si>
  <si>
    <t>Step 6</t>
  </si>
  <si>
    <t>Found more documents (amendments, other institution types, programmes)? Add a NEW row at the bottom for each one. Use the next free Row ID.</t>
  </si>
  <si>
    <t>Step 7</t>
  </si>
  <si>
    <t>End of day: add one line to the Daily Log tab (rows done, hours, blockers).</t>
  </si>
  <si>
    <t>Rules - read carefully</t>
  </si>
  <si>
    <t>Official sites only</t>
  </si>
  <si>
    <t>Download only from the authority's own website (ugc.gov.in, naac.gov.in, nbaind.org, aicte-india.org, dgt.gov.in, nirfindia.org, meity.gov.in, cert-in.org.in, indiacode.nic.in, nist.gov, unesco.org...). Never from Scribd, coaching sites, blogs or Google Drive copies.</t>
  </si>
  <si>
    <t>Collect by hand</t>
  </si>
  <si>
    <t>Use a normal browser. Do not run scraping scripts or bulk downloaders - these sites block them (that is why 6 downloads failed in v0.1). Never try to get around a login, CAPTCHA or block.</t>
  </si>
  <si>
    <t>Login or blocked?</t>
  </si>
  <si>
    <t>Set Collection Status to "Blocked - portal/login", fill the listing URL, explain in Notes, and tell the supervisor in the Daily Log. Do not create accounts.</t>
  </si>
  <si>
    <t>Licensed standards</t>
  </si>
  <si>
    <t>ISO/IEC and other paid standards: record the official page, edition and title only. Set "Licensed - link only". Never download or copy their text.</t>
  </si>
  <si>
    <t>One row = one version</t>
  </si>
  <si>
    <t>A new edition or an amendment is a NEW row with the same Source Code and a different Version. Fill "Supersedes / Amends". Never overwrite or delete an older row.</t>
  </si>
  <si>
    <t>Exact, not guessed</t>
  </si>
  <si>
    <t>Titles, versions and dates must be copied from the document itself. If unsure, leave Current Status "Not verified" and explain in Notes.</t>
  </si>
  <si>
    <t>Source Role</t>
  </si>
  <si>
    <t>Pre-filled as a suggestion. Do not change it without asking - the manager decides which sources are Mandatory vs guidance, so a market report is never mistaken for a legal requirement.</t>
  </si>
  <si>
    <t>Colour legend</t>
  </si>
  <si>
    <t>Blue header</t>
  </si>
  <si>
    <t>Intern fills these columns.</t>
  </si>
  <si>
    <t>Grey header</t>
  </si>
  <si>
    <t>Automatic or hint - do not edit (Row ID, Start Here, Row Check).</t>
  </si>
  <si>
    <t>Orange header</t>
  </si>
  <si>
    <t>Supervisor only (QA Status, QA By, QA Comment).</t>
  </si>
  <si>
    <t>Green row</t>
  </si>
  <si>
    <t>Worked example (DATA-001, DPDP Act). Copy its style.</t>
  </si>
  <si>
    <t>Row Check</t>
  </si>
  <si>
    <t>Green OK = complete. Yellow = something missing (it tells you what). Grey = not started.</t>
  </si>
  <si>
    <t>Red Source Code</t>
  </si>
  <si>
    <t>Same code and version entered twice - remove the duplicate.</t>
  </si>
  <si>
    <t>Tabs</t>
  </si>
  <si>
    <t>Source Register</t>
  </si>
  <si>
    <t>Main work sheet. Hover a column header to see what to enter.</t>
  </si>
  <si>
    <t>Progress</t>
  </si>
  <si>
    <t>Automatic counts per intern and per category.</t>
  </si>
  <si>
    <t>Watch Feeds</t>
  </si>
  <si>
    <t>Official register pages to search from. Record "Last Checked" when you visit one.</t>
  </si>
  <si>
    <t>Benchmark Catalogue</t>
  </si>
  <si>
    <t>The 60 benchmarks - optional, for "Related Benchmark IDs".</t>
  </si>
  <si>
    <t>Daily Log</t>
  </si>
  <si>
    <t>One line per intern per day.</t>
  </si>
  <si>
    <t>Lists</t>
  </si>
  <si>
    <t>Dropdown values. Rename "Intern A / Intern B" here and in the register before starting.</t>
  </si>
  <si>
    <t>Pre-filled rows</t>
  </si>
  <si>
    <t>89 starter rows come from the manager's Source Pack v0.2, the v0.1 manifest and the "complete library" brief. 13 are already downloaded (size, pages and SHA-256 computed from the manager's files) - only dates, version and status still need checking from the document.</t>
  </si>
  <si>
    <t>InGage Source Library - Source Register (one row = one document version)</t>
  </si>
  <si>
    <t>Blue headers = intern fills.  Grey = automatic / hint.  Orange = supervisor only.  Green row = worked example (S-001 style).  Read the "How to Fill" tab first.</t>
  </si>
  <si>
    <t>Row ID</t>
  </si>
  <si>
    <t>Assigned To</t>
  </si>
  <si>
    <t>Category</t>
  </si>
  <si>
    <t>Authority</t>
  </si>
  <si>
    <t>Authority Kind</t>
  </si>
  <si>
    <t>Source Role (suggested)</t>
  </si>
  <si>
    <t>Source Code</t>
  </si>
  <si>
    <t>Official Title (exact)</t>
  </si>
  <si>
    <t>Document Type</t>
  </si>
  <si>
    <t>Version / Edition</t>
  </si>
  <si>
    <t>Issued On</t>
  </si>
  <si>
    <t>Effective From</t>
  </si>
  <si>
    <t>Current Status</t>
  </si>
  <si>
    <t>Supersedes / Amends</t>
  </si>
  <si>
    <t>Applies To</t>
  </si>
  <si>
    <t>Programme / Trade Scope</t>
  </si>
  <si>
    <t>Listing Page URL</t>
  </si>
  <si>
    <t>Direct Document URL</t>
  </si>
  <si>
    <t>Official Domain?</t>
  </si>
  <si>
    <t>Collection Status</t>
  </si>
  <si>
    <t>Local File (folder/name)</t>
  </si>
  <si>
    <t>File Size (KB)</t>
  </si>
  <si>
    <t>Pages</t>
  </si>
  <si>
    <t>SHA-256 Checksum</t>
  </si>
  <si>
    <t>Licensed Content?</t>
  </si>
  <si>
    <t>Review Cadence (months)</t>
  </si>
  <si>
    <t>Watcher Feed Type</t>
  </si>
  <si>
    <t>Related Benchmark IDs</t>
  </si>
  <si>
    <t>Collected On</t>
  </si>
  <si>
    <t>Notes</t>
  </si>
  <si>
    <t>Start Here (hint)</t>
  </si>
  <si>
    <t>QA Status</t>
  </si>
  <si>
    <t>QA By / Date</t>
  </si>
  <si>
    <t>QA Comment</t>
  </si>
  <si>
    <t>S-001</t>
  </si>
  <si>
    <t>Intern A</t>
  </si>
  <si>
    <t>1. Accreditation &amp; Quality</t>
  </si>
  <si>
    <t>NAAC</t>
  </si>
  <si>
    <t>accreditation</t>
  </si>
  <si>
    <t>Authoritative quality framework</t>
  </si>
  <si>
    <t>NAAC-001</t>
  </si>
  <si>
    <t>NAAC Criteria and Key Indicators Annexure (with weightages)</t>
  </si>
  <si>
    <t>Manual</t>
  </si>
  <si>
    <t>Not verified</t>
  </si>
  <si>
    <t>All HEIs</t>
  </si>
  <si>
    <t>To find</t>
  </si>
  <si>
    <t>No</t>
  </si>
  <si>
    <t>web_page</t>
  </si>
  <si>
    <t>https://assessmentonline.naac.gov.in/</t>
  </si>
  <si>
    <t>Not checked</t>
  </si>
  <si>
    <t>S-002</t>
  </si>
  <si>
    <t>NAAC-002-UNIV</t>
  </si>
  <si>
    <t>NAAC SSR Manual and QIF - Universities</t>
  </si>
  <si>
    <t>SSR / QIF / SAR</t>
  </si>
  <si>
    <t>Universities</t>
  </si>
  <si>
    <t>document_index</t>
  </si>
  <si>
    <t>S-003</t>
  </si>
  <si>
    <t>NAAC-002-AUTO</t>
  </si>
  <si>
    <t>NAAC SSR Manual and QIF - Autonomous Colleges</t>
  </si>
  <si>
    <t>Autonomous colleges</t>
  </si>
  <si>
    <t>S-004</t>
  </si>
  <si>
    <t>NAAC-002-AFF</t>
  </si>
  <si>
    <t>NAAC SSR Manual and QIF - Affiliated / Constituent Colleges</t>
  </si>
  <si>
    <t>Affiliated and constituent colleges</t>
  </si>
  <si>
    <t>S-005</t>
  </si>
  <si>
    <t>NAAC-003</t>
  </si>
  <si>
    <t>NAAC data templates and metric-wise evidence instructions</t>
  </si>
  <si>
    <t>Data template</t>
  </si>
  <si>
    <t>S-006</t>
  </si>
  <si>
    <t>NAAC-004</t>
  </si>
  <si>
    <t>NAAC SOPs and assessment manuals (data validation, peer team visit)</t>
  </si>
  <si>
    <t>SOP</t>
  </si>
  <si>
    <t>S-007</t>
  </si>
  <si>
    <t>NBA</t>
  </si>
  <si>
    <t>NBA-001</t>
  </si>
  <si>
    <t>NBA Accreditation Documents portal (register snapshot)</t>
  </si>
  <si>
    <t>Register page</t>
  </si>
  <si>
    <t>NBA-applicable programmes</t>
  </si>
  <si>
    <t>https://www.nbaind.org/Downloads/Documents</t>
  </si>
  <si>
    <t>Yes</t>
  </si>
  <si>
    <t>Downloaded</t>
  </si>
  <si>
    <t>06_Live_Official_Registers/NBA_Accreditation_Documents.html</t>
  </si>
  <si>
    <t>16e44ce55fb25881aec7bc5dd5183b052a91baab9bfe89a691277f0720334f7a</t>
  </si>
  <si>
    <t>Snapshot from manager v0.1 pack. Use this page to find NBA-004 to NBA-009.</t>
  </si>
  <si>
    <t>S-008</t>
  </si>
  <si>
    <t>NBA-002</t>
  </si>
  <si>
    <t>NBA General Manual for Accreditation</t>
  </si>
  <si>
    <t>https://www.nbaind.org/files/General_Manual_V1.0_Format_20240423170211.pdf</t>
  </si>
  <si>
    <t>04_Accreditation/NBA_General_Manual_for_Accreditation.pdf</t>
  </si>
  <si>
    <t>84204319da2c073e0c166cda880bbcb620d0fe0d2bd79a8b8c42319dce9016d6</t>
  </si>
  <si>
    <t>From manager v0.1 pack (manifest NBA-GENERAL-2024). Verify version and dates from the PDF.</t>
  </si>
  <si>
    <t>S-009</t>
  </si>
  <si>
    <t>NBA-003</t>
  </si>
  <si>
    <t>NBA UG Engineering Tier II Manual</t>
  </si>
  <si>
    <t>Affiliated engineering programmes</t>
  </si>
  <si>
    <t>https://www.nbaind.org/files/Publication/PublicationTitles/NBA_UGEngg_Tier_II_Manual_Format_20250121123952.pdf</t>
  </si>
  <si>
    <t>04_Accreditation/NBA_UG_Engineering_Tier_II_Manual_2025.pdf</t>
  </si>
  <si>
    <t>792a4a2c75ad936cd9d1d9e8f2023907de280576a09f8add47ab67e46d49a7f4</t>
  </si>
  <si>
    <t>From manager v0.1 pack (manifest NBA-UG-TIER-II-2025). Verify version and dates from the PDF.</t>
  </si>
  <si>
    <t>S-010</t>
  </si>
  <si>
    <t>NBA-004</t>
  </si>
  <si>
    <t>NBA UG Engineering Tier I SAR / Manual</t>
  </si>
  <si>
    <t>S-011</t>
  </si>
  <si>
    <t>NBA-005</t>
  </si>
  <si>
    <t>NBA Diploma Engineering SAR / Manual</t>
  </si>
  <si>
    <t>Polytechnics</t>
  </si>
  <si>
    <t>S-012</t>
  </si>
  <si>
    <t>NBA-006</t>
  </si>
  <si>
    <t>NBA PG Engineering SAR / Manual</t>
  </si>
  <si>
    <t>S-013</t>
  </si>
  <si>
    <t>NBA-007</t>
  </si>
  <si>
    <t>NBA Management (MBA / PGDM) SAR / Manual</t>
  </si>
  <si>
    <t>S-014</t>
  </si>
  <si>
    <t>NBA-008</t>
  </si>
  <si>
    <t>NBA Pre-Qualifiers (one row per programme type)</t>
  </si>
  <si>
    <t>Add one row per programme type you find.</t>
  </si>
  <si>
    <t>S-015</t>
  </si>
  <si>
    <t>NBA-009</t>
  </si>
  <si>
    <t>NBA Evaluation Guidelines and visit-document list</t>
  </si>
  <si>
    <t>Guideline</t>
  </si>
  <si>
    <t>S-016</t>
  </si>
  <si>
    <t>NIRF</t>
  </si>
  <si>
    <t>ranking</t>
  </si>
  <si>
    <t>NIRF-001</t>
  </si>
  <si>
    <t>NIRF Documents portal (register snapshot)</t>
  </si>
  <si>
    <t>Eligible HEIs</t>
  </si>
  <si>
    <t>https://www.nirfindia.org/Home/Documents</t>
  </si>
  <si>
    <t>06_Live_Official_Registers/NIRF_Documents.html</t>
  </si>
  <si>
    <t>221c7924fb4a2787ebc06b83d9306c53bf5de3a6720da93825b02b2578d17293</t>
  </si>
  <si>
    <t>Snapshot from manager v0.1 pack. Use this page to find NIRF-002 and NIRF-003.</t>
  </si>
  <si>
    <t>S-017</t>
  </si>
  <si>
    <t>NIRF-002</t>
  </si>
  <si>
    <t>NIRF ranking methodology - overall and category-wise</t>
  </si>
  <si>
    <t>Methodology</t>
  </si>
  <si>
    <t>Add one row per category methodology.</t>
  </si>
  <si>
    <t>S-018</t>
  </si>
  <si>
    <t>NIRF-003</t>
  </si>
  <si>
    <t>NIRF Data Capturing System (DCS) manual and parameter definitions</t>
  </si>
  <si>
    <t>S-019</t>
  </si>
  <si>
    <t>2. Higher-Education Regulation</t>
  </si>
  <si>
    <t>UGC</t>
  </si>
  <si>
    <t>regulatory</t>
  </si>
  <si>
    <t>Mandatory</t>
  </si>
  <si>
    <t>UGC-001</t>
  </si>
  <si>
    <t>UGC Regulations register (register snapshot)</t>
  </si>
  <si>
    <t>HEIs</t>
  </si>
  <si>
    <t>https://www.ugc.gov.in/Regulations</t>
  </si>
  <si>
    <t>06_Live_Official_Registers/UGC_Regulations.html</t>
  </si>
  <si>
    <t>e87101365423d386be1724200cc838210e19dd8adad0c6566f779e2433160895</t>
  </si>
  <si>
    <t>Snapshot from manager v0.1 pack. Main starting point for UGC-003 to UGC-022.</t>
  </si>
  <si>
    <t>S-020</t>
  </si>
  <si>
    <t>Good-practice standard</t>
  </si>
  <si>
    <t>UGC-002</t>
  </si>
  <si>
    <t>UGC Guidelines register (register snapshot)</t>
  </si>
  <si>
    <t>https://www.ugc.gov.in/Guideline</t>
  </si>
  <si>
    <t>06_Live_Official_Registers/UGC_Guidelines.html</t>
  </si>
  <si>
    <t>1039c92b2a08b7333d78db48dc003ddfbe64df2a05d1c99c75f7407d6e97c808</t>
  </si>
  <si>
    <t>Snapshot from manager v0.1 pack.</t>
  </si>
  <si>
    <t>S-021</t>
  </si>
  <si>
    <t>UGC-003</t>
  </si>
  <si>
    <t>UGC Minimum Standards of Instruction for the Grant of UG and PG Degrees Regulations, 2025</t>
  </si>
  <si>
    <t>Regulation</t>
  </si>
  <si>
    <t>Universities and colleges</t>
  </si>
  <si>
    <t>S-022</t>
  </si>
  <si>
    <t>UGC-004</t>
  </si>
  <si>
    <t>UGC Minimum Qualifications (teachers and academic staff) Regulations and amendments</t>
  </si>
  <si>
    <t>Add a separate row for each amendment.</t>
  </si>
  <si>
    <t>S-023</t>
  </si>
  <si>
    <t>UGC-005</t>
  </si>
  <si>
    <t>UGC Promotion of Academic Integrity and Prevention of Plagiarism Regulations, 2018</t>
  </si>
  <si>
    <t>S-024</t>
  </si>
  <si>
    <t>UGC-006</t>
  </si>
  <si>
    <t>UGC guidelines for Institutional Development Plans (IDP)</t>
  </si>
  <si>
    <t>S-025</t>
  </si>
  <si>
    <t>7. Research, Innovation &amp; Impact</t>
  </si>
  <si>
    <t>UGC-007</t>
  </si>
  <si>
    <t>UGC guidelines for Research and Development Cells in HEIs</t>
  </si>
  <si>
    <t>S-026</t>
  </si>
  <si>
    <t>4. Student Protection &amp; Inclusion</t>
  </si>
  <si>
    <t>UGC-008</t>
  </si>
  <si>
    <t>UGC Accessibility Guidelines and Standards for HEIs</t>
  </si>
  <si>
    <t>S-027</t>
  </si>
  <si>
    <t>UGC-009</t>
  </si>
  <si>
    <t>UGC guidelines on equitable opportunities for socio-economically disadvantaged groups (SEDG)</t>
  </si>
  <si>
    <t>S-028</t>
  </si>
  <si>
    <t>UGC-010</t>
  </si>
  <si>
    <t>UGC Open and Distance Learning and Online Programmes Regulations</t>
  </si>
  <si>
    <t>S-029</t>
  </si>
  <si>
    <t>UGC-011</t>
  </si>
  <si>
    <t>UGC PhD regulations (minimum standards and procedures for award of PhD)</t>
  </si>
  <si>
    <t>S-030</t>
  </si>
  <si>
    <t>UGC-012</t>
  </si>
  <si>
    <t>UGC regulations for conferment of autonomous status on colleges</t>
  </si>
  <si>
    <t>S-031</t>
  </si>
  <si>
    <t>UGC-013</t>
  </si>
  <si>
    <t>UGC institutional recognition requirements</t>
  </si>
  <si>
    <t>Identify which current regulations cover recognition; one row each.</t>
  </si>
  <si>
    <t>S-032</t>
  </si>
  <si>
    <t>UGC-014</t>
  </si>
  <si>
    <t>UGC internship guidelines</t>
  </si>
  <si>
    <t>S-033</t>
  </si>
  <si>
    <t>UGC-015</t>
  </si>
  <si>
    <t>UGC guidelines on academia-industry linkage</t>
  </si>
  <si>
    <t>S-034</t>
  </si>
  <si>
    <t>UGC-016</t>
  </si>
  <si>
    <t>UGC guidelines on internationalisation of higher education</t>
  </si>
  <si>
    <t>S-035</t>
  </si>
  <si>
    <t>UGC-017</t>
  </si>
  <si>
    <t>UGC guidelines on multiple entry and exit</t>
  </si>
  <si>
    <t>S-036</t>
  </si>
  <si>
    <t>UGC-018</t>
  </si>
  <si>
    <t>UGC guidelines on public self-disclosure by HEIs</t>
  </si>
  <si>
    <t>S-037</t>
  </si>
  <si>
    <t>UGC-019</t>
  </si>
  <si>
    <t>UGC guidelines on multidisciplinary education</t>
  </si>
  <si>
    <t>S-038</t>
  </si>
  <si>
    <t>Ministry of Education</t>
  </si>
  <si>
    <t>government_policy</t>
  </si>
  <si>
    <t>MOE-001</t>
  </si>
  <si>
    <t>National Education Policy 2020</t>
  </si>
  <si>
    <t>Policy</t>
  </si>
  <si>
    <t>v0.1 auto-download failed (404 - old link moved). Open the official site in a browser and download manually.</t>
  </si>
  <si>
    <t>https://www.education.gov.in/</t>
  </si>
  <si>
    <t>S-039</t>
  </si>
  <si>
    <t>UGC-020</t>
  </si>
  <si>
    <t>UGC (Redress of Grievances of Students) Regulations</t>
  </si>
  <si>
    <t>S-040</t>
  </si>
  <si>
    <t>UGC-021</t>
  </si>
  <si>
    <t>UGC Regulations on Curbing the Menace of Ragging in HEIs</t>
  </si>
  <si>
    <t>S-041</t>
  </si>
  <si>
    <t>UGC-022</t>
  </si>
  <si>
    <t>UGC regulations on prevention of sexual harassment of women employees and students in HEIs</t>
  </si>
  <si>
    <t>S-042</t>
  </si>
  <si>
    <t>Parliament of India</t>
  </si>
  <si>
    <t>LAW-001</t>
  </si>
  <si>
    <t>Sexual Harassment of Women at Workplace (Prevention, Prohibition and Redressal) Act, 2013 and Rules</t>
  </si>
  <si>
    <t>Act / Law</t>
  </si>
  <si>
    <t>Use the official Gazette / India Code (indiacode.nic.in) copy only.</t>
  </si>
  <si>
    <t>S-043</t>
  </si>
  <si>
    <t>LAW-002</t>
  </si>
  <si>
    <t>Rights of Persons with Disabilities Act, 2016 and Rules</t>
  </si>
  <si>
    <t>S-044</t>
  </si>
  <si>
    <t>Other (write in notes)</t>
  </si>
  <si>
    <t>WEL-001</t>
  </si>
  <si>
    <t>Government student safety, security and welfare requirements (identify applicable ones)</t>
  </si>
  <si>
    <t>Research task: list each applicable official document as its own row.</t>
  </si>
  <si>
    <t>S-045</t>
  </si>
  <si>
    <t>ANRF</t>
  </si>
  <si>
    <t>Intelligence signal</t>
  </si>
  <si>
    <t>ANRF-001</t>
  </si>
  <si>
    <t>ANRF research programmes (grants, Impact CoE, Catalytic Partnership, MAHA)</t>
  </si>
  <si>
    <t>Portal page</t>
  </si>
  <si>
    <t>One row per programme document.</t>
  </si>
  <si>
    <t>S-046</t>
  </si>
  <si>
    <t>RES-001</t>
  </si>
  <si>
    <t>DST / DBT / MeitY / BIRAC / ISRO / DRDO research-call pages</t>
  </si>
  <si>
    <t>Intelligence signal: one row per agency call page, not every call.</t>
  </si>
  <si>
    <t>S-047</t>
  </si>
  <si>
    <t>RES-002</t>
  </si>
  <si>
    <t>IP, technology-transfer and startup / incubation policy sources</t>
  </si>
  <si>
    <t>Research task: identify the official national policy documents.</t>
  </si>
  <si>
    <t>S-048</t>
  </si>
  <si>
    <t>RES-003</t>
  </si>
  <si>
    <t>Research ethics, research-data and publication-integrity sources</t>
  </si>
  <si>
    <t>Research task: identify the official sources.</t>
  </si>
  <si>
    <t>S-049</t>
  </si>
  <si>
    <t>Intern B</t>
  </si>
  <si>
    <t>3. Technical, Polytechnic &amp; ITI</t>
  </si>
  <si>
    <t>AICTE</t>
  </si>
  <si>
    <t>AICTE-001</t>
  </si>
  <si>
    <t>AICTE Approval Process Handbook 2024-2027</t>
  </si>
  <si>
    <t>Handbook</t>
  </si>
  <si>
    <t>Technical institutions</t>
  </si>
  <si>
    <t>v0.1 auto-download failed (SSL certificate error). Open the official site in a browser and download manually.</t>
  </si>
  <si>
    <t>https://www.aicte-india.org/</t>
  </si>
  <si>
    <t>S-050</t>
  </si>
  <si>
    <t>AICTE-002</t>
  </si>
  <si>
    <t>AICTE model curricula (one row per programme: AI, ML, data science, cyber, robotics, IoT, cloud, XR...)</t>
  </si>
  <si>
    <t>Framework</t>
  </si>
  <si>
    <t>Technical programmes</t>
  </si>
  <si>
    <t>https://www.aicte-india.org/education/model-curriculum</t>
  </si>
  <si>
    <t>S-051</t>
  </si>
  <si>
    <t>AICTE-003</t>
  </si>
  <si>
    <t>AICTE internship policy and guidelines</t>
  </si>
  <si>
    <t>S-052</t>
  </si>
  <si>
    <t>AICTE-004</t>
  </si>
  <si>
    <t>AICTE innovation, startup and incubation policy materials</t>
  </si>
  <si>
    <t>S-053</t>
  </si>
  <si>
    <t>AICTE-005</t>
  </si>
  <si>
    <t>AICTE digital-learning guidance</t>
  </si>
  <si>
    <t>S-054</t>
  </si>
  <si>
    <t>DGT</t>
  </si>
  <si>
    <t>DGT-001</t>
  </si>
  <si>
    <t>Affiliation Norms for ITIs 2025</t>
  </si>
  <si>
    <t>ITIs</t>
  </si>
  <si>
    <t>https://dgt.gov.in/</t>
  </si>
  <si>
    <t>https://dgt.gov.in/sites/default/files/2025-12/Circular-for-Affiliation-Norms-for-ITIs-2025_0.pdf</t>
  </si>
  <si>
    <t>03_Technical_and_Skills/DGT_Affiliation_Norms_for_ITIs_2025.pdf</t>
  </si>
  <si>
    <t>cd096858ca6dd880eabf31fcde993b4cc79f701823c9c7437d2760e447a79c95</t>
  </si>
  <si>
    <t>From manager v0.1 pack (manifest DGT-ITI-2025). Verify dates from the circular.</t>
  </si>
  <si>
    <t>S-055</t>
  </si>
  <si>
    <t>DGT-002</t>
  </si>
  <si>
    <t>DGT ITI grading guidelines (register snapshot)</t>
  </si>
  <si>
    <t>https://dgt.gov.in/en/guidelines-grading</t>
  </si>
  <si>
    <t>06_Live_Official_Registers/DGT_ITI_Grading.html</t>
  </si>
  <si>
    <t>96af2903fe290af24b62d6408b6b5d6fdfd776f740bac41ff6261a09397ea0a8</t>
  </si>
  <si>
    <t>S-056</t>
  </si>
  <si>
    <t>DGT-003</t>
  </si>
  <si>
    <t>DGT trade-wise norms and syllabi</t>
  </si>
  <si>
    <t>One row per trade group, not every trade.</t>
  </si>
  <si>
    <t>S-057</t>
  </si>
  <si>
    <t>DGT-004</t>
  </si>
  <si>
    <t>DGT inspection requirements, affiliation notices and portal instructions</t>
  </si>
  <si>
    <t>Notification / Circular</t>
  </si>
  <si>
    <t>S-058</t>
  </si>
  <si>
    <t>NCVET</t>
  </si>
  <si>
    <t>NCVET-001</t>
  </si>
  <si>
    <t>NCVET regulations and guidelines (awarding bodies, assessment, certification)</t>
  </si>
  <si>
    <t>ITI / skills institutions</t>
  </si>
  <si>
    <t>https://ncvet.gov.in/</t>
  </si>
  <si>
    <t>S-059</t>
  </si>
  <si>
    <t>NCVET-002</t>
  </si>
  <si>
    <t>National Skills Qualification Framework (NSQF) notification and qualification files</t>
  </si>
  <si>
    <t>S-060</t>
  </si>
  <si>
    <t>NCrF-001</t>
  </si>
  <si>
    <t>National Credit Framework (NCrF)</t>
  </si>
  <si>
    <t>Education and skills institutions</t>
  </si>
  <si>
    <t>S-061</t>
  </si>
  <si>
    <t>Academic Bank of Credits</t>
  </si>
  <si>
    <t>NAD-001</t>
  </si>
  <si>
    <t>Academic Bank of Credits regulations and guidance</t>
  </si>
  <si>
    <t>https://www.abc.gov.in/</t>
  </si>
  <si>
    <t>S-062</t>
  </si>
  <si>
    <t>APP-001</t>
  </si>
  <si>
    <t>Apprenticeship guidance (NAPS / NATS)</t>
  </si>
  <si>
    <t>Identify the official scheme portals.</t>
  </si>
  <si>
    <t>S-063</t>
  </si>
  <si>
    <t>5. Data, Technology &amp; Cybersecurity</t>
  </si>
  <si>
    <t>MeitY</t>
  </si>
  <si>
    <t>DATA-001</t>
  </si>
  <si>
    <t>The Digital Personal Data Protection Act, 2023 (No. 22 of 2023)</t>
  </si>
  <si>
    <t>Act No. 22 of 2023</t>
  </si>
  <si>
    <t>Current</t>
  </si>
  <si>
    <t>Any institution processing digital personal data</t>
  </si>
  <si>
    <t>https://www.meity.gov.in/</t>
  </si>
  <si>
    <t>https://www.meity.gov.in/static/uploads/2024/02/Digital-Personal-Data-Protection-Act-2023.pdf</t>
  </si>
  <si>
    <t>02_Law_Data_Cyber/DPDP_Act_2023.pdf</t>
  </si>
  <si>
    <t>4deb23981d3010c8225a2ff6149e7243dc2268455b299e283afebdd7b72a7d15</t>
  </si>
  <si>
    <t>EXAMPLE ROW. Act dated 11 Aug 2023 (page 1). Commences in phases by notification, so Effective From is left blank and explained here - see DATA-002.</t>
  </si>
  <si>
    <t>Verified</t>
  </si>
  <si>
    <t>Example</t>
  </si>
  <si>
    <t>S-064</t>
  </si>
  <si>
    <t>DATA-002</t>
  </si>
  <si>
    <t>Digital Personal Data Protection Rules, 2025</t>
  </si>
  <si>
    <t>Rules</t>
  </si>
  <si>
    <t>https://www.meity.gov.in/documents/act-and-policies/digital-personal-data-protection-rules-2025-gDOxUjMtQWa?pageTitle=Digital-Personal-Data-Protection-Rules-2025</t>
  </si>
  <si>
    <t>https://www.meity.gov.in/static/uploads/2025/11/53450e6e5dc0bfa85ebd78686cadad39.pdf</t>
  </si>
  <si>
    <t>02_Law_Data_Cyber/DPDP_Rules_2025.pdf</t>
  </si>
  <si>
    <t>eabc7d05e013144615d78ddc0e8b9c9aac1920e814f4fad38ce6560951f5aa08</t>
  </si>
  <si>
    <t>From manager v0.1 pack. Record the phased commencement dates in notes.</t>
  </si>
  <si>
    <t>S-065</t>
  </si>
  <si>
    <t>CERT-In</t>
  </si>
  <si>
    <t>CYBER-001</t>
  </si>
  <si>
    <t>CERT-In Directions under section 70B (28.04.2022)</t>
  </si>
  <si>
    <t>Direction</t>
  </si>
  <si>
    <t>Covered entities</t>
  </si>
  <si>
    <t>https://www.cert-in.org.in/Directions70B.jsp</t>
  </si>
  <si>
    <t>https://www.cert-in.org.in/PDF/CERT-In_Directions_70B_28.04.2022.pdf</t>
  </si>
  <si>
    <t>02_Law_Data_Cyber/CERT-In_Directions_70B_2022.pdf</t>
  </si>
  <si>
    <t>202c2f3953d792dcfb3ecb3634fc82ab75437ee596de89b8d59a211e8e42431f</t>
  </si>
  <si>
    <t>From manager v0.1 pack. Also look for the official FAQs on these directions (separate row).</t>
  </si>
  <si>
    <t>S-066</t>
  </si>
  <si>
    <t>CYBER-002</t>
  </si>
  <si>
    <t>CERT-In cybersecurity advisories and AI / API security guidance</t>
  </si>
  <si>
    <t>Intelligence feed: one row for the advisories page, plus rows only for guidance documents.</t>
  </si>
  <si>
    <t>https://www.cert-in.org.in/</t>
  </si>
  <si>
    <t>S-067</t>
  </si>
  <si>
    <t>LAW-003</t>
  </si>
  <si>
    <t>Information Technology Act, 2000 (as amended)</t>
  </si>
  <si>
    <t>Use the official India Code (indiacode.nic.in) copy only.</t>
  </si>
  <si>
    <t>S-068</t>
  </si>
  <si>
    <t>DIG-001</t>
  </si>
  <si>
    <t>Government digital-governance, cloud, identity, records and interoperability guidance</t>
  </si>
  <si>
    <t>Research task: one row per official document.</t>
  </si>
  <si>
    <t>S-069</t>
  </si>
  <si>
    <t>6. AI Readiness &amp; Responsible AI</t>
  </si>
  <si>
    <t>UNESCO</t>
  </si>
  <si>
    <t>standards_body</t>
  </si>
  <si>
    <t>AI-001</t>
  </si>
  <si>
    <t>UNESCO Guidance for Generative AI in Education and Research</t>
  </si>
  <si>
    <t>Education institutions</t>
  </si>
  <si>
    <t>v0.1 auto-download failed (403 - site blocks scripts). Open the official site in a browser and download manually.</t>
  </si>
  <si>
    <t>https://www.unesco.org/en/digital-education/g77-competencies</t>
  </si>
  <si>
    <t>S-070</t>
  </si>
  <si>
    <t>AI-002</t>
  </si>
  <si>
    <t>UNESCO AI Competency Framework for Teachers</t>
  </si>
  <si>
    <t>Faculty and educators</t>
  </si>
  <si>
    <t>https://www.unesco.org/en/articles/ai-competency-framework-teachers?hub=365</t>
  </si>
  <si>
    <t>S-071</t>
  </si>
  <si>
    <t>AI-003</t>
  </si>
  <si>
    <t>UNESCO AI Competency Framework for Students</t>
  </si>
  <si>
    <t>Students</t>
  </si>
  <si>
    <t>S-072</t>
  </si>
  <si>
    <t>NIST</t>
  </si>
  <si>
    <t>AI-004</t>
  </si>
  <si>
    <t>NIST AI Risk Management Framework 1.0 (NIST AI 100-1)</t>
  </si>
  <si>
    <t>Institutions using AI</t>
  </si>
  <si>
    <t>https://www.nist.gov/itl/ai-risk-management-framework/ai-risk-management-framework-resources</t>
  </si>
  <si>
    <t>https://nvlpubs.nist.gov/nistpubs/ai/NIST.AI.100-1.pdf</t>
  </si>
  <si>
    <t>05_AI_and_Emerging_Technology/NIST_AI_RMF_1_0.pdf</t>
  </si>
  <si>
    <t>7576edb531d9848825814ee88e28b1795d3a84b435b4b797d3670eafdc4a89f1</t>
  </si>
  <si>
    <t>From manager v0.1 pack. Verify dates from the PDF.</t>
  </si>
  <si>
    <t>S-073</t>
  </si>
  <si>
    <t>AI-004B</t>
  </si>
  <si>
    <t>NIST Generative AI Profile (NIST AI 600-1)</t>
  </si>
  <si>
    <t>Institutions using generative AI</t>
  </si>
  <si>
    <t>https://nvlpubs.nist.gov/nistpubs/ai/NIST.AI.600-1.pdf</t>
  </si>
  <si>
    <t>05_AI_and_Emerging_Technology/NIST_Generative_AI_Profile_600_1.pdf</t>
  </si>
  <si>
    <t>6e73620ab6b64e90ef2c04bf0e0d6246185a2f4b1b13cab0df494496cff89b6a</t>
  </si>
  <si>
    <t>S-074</t>
  </si>
  <si>
    <t>AI-007</t>
  </si>
  <si>
    <t>NIST AI RMF Playbook</t>
  </si>
  <si>
    <t>S-075</t>
  </si>
  <si>
    <t>ISO/IEC</t>
  </si>
  <si>
    <t>AI-005</t>
  </si>
  <si>
    <t>ISO/IEC 42001:2023 AI management system</t>
  </si>
  <si>
    <t>Standard</t>
  </si>
  <si>
    <t>https://www.iso.org/artificial-intelligence/ai-management-systems</t>
  </si>
  <si>
    <t>Licensed - link only</t>
  </si>
  <si>
    <t>manual_upload</t>
  </si>
  <si>
    <t>Licensed: record the official page and edition only. Do NOT download or copy the text.</t>
  </si>
  <si>
    <t>S-076</t>
  </si>
  <si>
    <t>AI-006</t>
  </si>
  <si>
    <t>ISO/IEC 42005:2025 AI system impact assessment</t>
  </si>
  <si>
    <t>https://www.iso.org/publication/PUB200420.html</t>
  </si>
  <si>
    <t>S-077</t>
  </si>
  <si>
    <t>ISO-001</t>
  </si>
  <si>
    <t>ISO/IEC 23894 AI risk management</t>
  </si>
  <si>
    <t>Licensed: official page and edition only.</t>
  </si>
  <si>
    <t>https://www.iso.org/</t>
  </si>
  <si>
    <t>S-078</t>
  </si>
  <si>
    <t>ISO-002</t>
  </si>
  <si>
    <t>ISO/IEC 27001 information security management</t>
  </si>
  <si>
    <t>S-079</t>
  </si>
  <si>
    <t>ISO-003</t>
  </si>
  <si>
    <t>ISO/IEC 27701 privacy information management</t>
  </si>
  <si>
    <t>S-080</t>
  </si>
  <si>
    <t>ISO-004</t>
  </si>
  <si>
    <t>ISO 22301 business continuity management</t>
  </si>
  <si>
    <t>S-081</t>
  </si>
  <si>
    <t>MeitY/IndiaAI</t>
  </si>
  <si>
    <t>INDIAAI-001</t>
  </si>
  <si>
    <t>IndiaAI / MeitY AI policy, governance and responsible-AI materials</t>
  </si>
  <si>
    <t>Indian institutions</t>
  </si>
  <si>
    <t>One row per official document found.</t>
  </si>
  <si>
    <t>https://www.meity.gov.in/ministry/our-groups/details/ai-emerging-technologies-division-QN5EDOtQWa</t>
  </si>
  <si>
    <t>S-082</t>
  </si>
  <si>
    <t>8. Sustainability &amp; Future Technology</t>
  </si>
  <si>
    <t>NIRF-004</t>
  </si>
  <si>
    <t>NIRF Sustainable Institution methodology</t>
  </si>
  <si>
    <t>S-083</t>
  </si>
  <si>
    <t>SUS-001</t>
  </si>
  <si>
    <t>Green campus, energy, water, waste and green-computing guidance (official sources)</t>
  </si>
  <si>
    <t>Research task: official government / regulator sources only.</t>
  </si>
  <si>
    <t>S-084</t>
  </si>
  <si>
    <t>DST</t>
  </si>
  <si>
    <t>NQM-001</t>
  </si>
  <si>
    <t>National Quantum Mission materials</t>
  </si>
  <si>
    <t>https://dst.gov.in/national-quantum-mission-nqm</t>
  </si>
  <si>
    <t>S-085</t>
  </si>
  <si>
    <t>W3C</t>
  </si>
  <si>
    <t>TECH-001</t>
  </si>
  <si>
    <t>W3C Web Content Accessibility Guidelines (WCAG) - current version</t>
  </si>
  <si>
    <t>https://www.w3.org/WAI/</t>
  </si>
  <si>
    <t>S-086</t>
  </si>
  <si>
    <t>1EdTech</t>
  </si>
  <si>
    <t>TECH-002</t>
  </si>
  <si>
    <t>Open Badges / digital-credential specification</t>
  </si>
  <si>
    <t>https://www.1edtech.org/</t>
  </si>
  <si>
    <t>S-087</t>
  </si>
  <si>
    <t>TECH-003</t>
  </si>
  <si>
    <t>Learning Tools Interoperability (LTI) specification</t>
  </si>
  <si>
    <t>S-088</t>
  </si>
  <si>
    <t>Khronos Group</t>
  </si>
  <si>
    <t>TECH-004</t>
  </si>
  <si>
    <t>OpenXR specification</t>
  </si>
  <si>
    <t>https://www.khronos.org/openxr/</t>
  </si>
  <si>
    <t>S-089</t>
  </si>
  <si>
    <t>ingage_proposed</t>
  </si>
  <si>
    <t>TECH-005</t>
  </si>
  <si>
    <t>Emerging-technology roadmaps (XR, robotics, IoT, digital twins, blockchain, AI agents)</t>
  </si>
  <si>
    <t>Dataset / Report</t>
  </si>
  <si>
    <t>Intelligence signal only - official missions and major standards bodies. Ask your supervisor before adding industry reports.</t>
  </si>
  <si>
    <t>S-090</t>
  </si>
  <si>
    <t>S-091</t>
  </si>
  <si>
    <t>S-092</t>
  </si>
  <si>
    <t>S-093</t>
  </si>
  <si>
    <t>S-094</t>
  </si>
  <si>
    <t>S-095</t>
  </si>
  <si>
    <t>S-096</t>
  </si>
  <si>
    <t>S-097</t>
  </si>
  <si>
    <t>S-098</t>
  </si>
  <si>
    <t>S-099</t>
  </si>
  <si>
    <t>S-100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</si>
  <si>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</si>
  <si>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</si>
  <si>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</si>
  <si>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</si>
  <si>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</si>
  <si>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</si>
  <si>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</si>
  <si>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</si>
  <si>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</si>
  <si>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</si>
  <si>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</si>
  <si>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</si>
  <si>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</si>
  <si>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</si>
  <si>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</si>
  <si>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</si>
  <si>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</si>
  <si>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S-118</t>
  </si>
  <si>
    <t>S-119</t>
  </si>
  <si>
    <t>S-120</t>
  </si>
  <si>
    <t>S-121</t>
  </si>
  <si>
    <t>S-122</t>
  </si>
  <si>
    <t>S-123</t>
  </si>
  <si>
    <t>S-124</t>
  </si>
  <si>
    <t>S-125</t>
  </si>
  <si>
    <t>S-126</t>
  </si>
  <si>
    <t>S-127</t>
  </si>
  <si>
    <t>S-128</t>
  </si>
  <si>
    <t>S-129</t>
  </si>
  <si>
    <t>S-130</t>
  </si>
  <si>
    <t>S-131</t>
  </si>
  <si>
    <t>S-132</t>
  </si>
  <si>
    <t>S-133</t>
  </si>
  <si>
    <t>S-134</t>
  </si>
  <si>
    <t>S-135</t>
  </si>
  <si>
    <t>S-136</t>
  </si>
  <si>
    <t>S-137</t>
  </si>
  <si>
    <t>S-138</t>
  </si>
  <si>
    <t>S-139</t>
  </si>
  <si>
    <t>S-140</t>
  </si>
  <si>
    <t>S-141</t>
  </si>
  <si>
    <t>S-142</t>
  </si>
  <si>
    <t>S-143</t>
  </si>
  <si>
    <t>S-144</t>
  </si>
  <si>
    <t>S-145</t>
  </si>
  <si>
    <t>S-146</t>
  </si>
  <si>
    <t>S-147</t>
  </si>
  <si>
    <t>S-148</t>
  </si>
  <si>
    <t>S-149</t>
  </si>
  <si>
    <t>S-150</t>
  </si>
  <si>
    <t>S-151</t>
  </si>
  <si>
    <t>S-152</t>
  </si>
  <si>
    <t>S-153</t>
  </si>
  <si>
    <t>S-154</t>
  </si>
  <si>
    <t>S-155</t>
  </si>
  <si>
    <t>S-156</t>
  </si>
  <si>
    <t>S-157</t>
  </si>
  <si>
    <t>S-158</t>
  </si>
  <si>
    <t>S-159</t>
  </si>
  <si>
    <t>S-160</t>
  </si>
  <si>
    <t>S-161</t>
  </si>
  <si>
    <t>S-162</t>
  </si>
  <si>
    <t>S-163</t>
  </si>
  <si>
    <t>S-164</t>
  </si>
  <si>
    <t>S-165</t>
  </si>
  <si>
    <t>S-166</t>
  </si>
  <si>
    <t>S-167</t>
  </si>
  <si>
    <t>S-168</t>
  </si>
  <si>
    <t>S-169</t>
  </si>
  <si>
    <t>S-170</t>
  </si>
  <si>
    <t>S-171</t>
  </si>
  <si>
    <t>S-172</t>
  </si>
  <si>
    <t>S-173</t>
  </si>
  <si>
    <t>S-174</t>
  </si>
  <si>
    <t>S-175</t>
  </si>
  <si>
    <t>S-176</t>
  </si>
  <si>
    <t>S-177</t>
  </si>
  <si>
    <t>S-178</t>
  </si>
  <si>
    <t>S-179</t>
  </si>
  <si>
    <t>S-180</t>
  </si>
  <si>
    <t>S-181</t>
  </si>
  <si>
    <t>S-182</t>
  </si>
  <si>
    <t>S-183</t>
  </si>
  <si>
    <t>S-184</t>
  </si>
  <si>
    <t>S-185</t>
  </si>
  <si>
    <t>S-186</t>
  </si>
  <si>
    <t>S-187</t>
  </si>
  <si>
    <t>S-188</t>
  </si>
  <si>
    <t>S-189</t>
  </si>
  <si>
    <t>S-190</t>
  </si>
  <si>
    <t>S-191</t>
  </si>
  <si>
    <t>S-192</t>
  </si>
  <si>
    <t>S-193</t>
  </si>
  <si>
    <t>S-194</t>
  </si>
  <si>
    <t>S-195</t>
  </si>
  <si>
    <t>S-196</t>
  </si>
  <si>
    <t>S-197</t>
  </si>
  <si>
    <t>S-198</t>
  </si>
  <si>
    <t>S-199</t>
  </si>
  <si>
    <t>S-200</t>
  </si>
  <si>
    <t>S-201</t>
  </si>
  <si>
    <t>S-202</t>
  </si>
  <si>
    <t>S-203</t>
  </si>
  <si>
    <t>S-204</t>
  </si>
  <si>
    <t>S-205</t>
  </si>
  <si>
    <t>S-206</t>
  </si>
  <si>
    <t>S-207</t>
  </si>
  <si>
    <t>S-208</t>
  </si>
  <si>
    <t>S-209</t>
  </si>
  <si>
    <t>S-210</t>
  </si>
  <si>
    <t>S-211</t>
  </si>
  <si>
    <t>S-212</t>
  </si>
  <si>
    <t>S-213</t>
  </si>
  <si>
    <t>S-214</t>
  </si>
  <si>
    <t>S-215</t>
  </si>
  <si>
    <t>S-216</t>
  </si>
  <si>
    <t>S-217</t>
  </si>
  <si>
    <t>S-218</t>
  </si>
  <si>
    <t>S-219</t>
  </si>
  <si>
    <t>S-220</t>
  </si>
  <si>
    <t>S-221</t>
  </si>
  <si>
    <t>S-222</t>
  </si>
  <si>
    <t>S-223</t>
  </si>
  <si>
    <t>S-224</t>
  </si>
  <si>
    <t>S-225</t>
  </si>
  <si>
    <t>S-226</t>
  </si>
  <si>
    <t>S-227</t>
  </si>
  <si>
    <t>S-228</t>
  </si>
  <si>
    <t>S-229</t>
  </si>
  <si>
    <t>S-230</t>
  </si>
  <si>
    <t>S-231</t>
  </si>
  <si>
    <t>S-232</t>
  </si>
  <si>
    <t>S-233</t>
  </si>
  <si>
    <t>S-234</t>
  </si>
  <si>
    <t>S-235</t>
  </si>
  <si>
    <t>S-236</t>
  </si>
  <si>
    <t>S-237</t>
  </si>
  <si>
    <t>S-238</t>
  </si>
  <si>
    <t>S-239</t>
  </si>
  <si>
    <t>S-240</t>
  </si>
  <si>
    <t>S-241</t>
  </si>
  <si>
    <t>S-242</t>
  </si>
  <si>
    <t>S-243</t>
  </si>
  <si>
    <t>S-244</t>
  </si>
  <si>
    <t>S-245</t>
  </si>
  <si>
    <t>S-246</t>
  </si>
  <si>
    <t>S-247</t>
  </si>
  <si>
    <t>S-248</t>
  </si>
  <si>
    <t>S-249</t>
  </si>
  <si>
    <t>S-250</t>
  </si>
  <si>
    <t>S-251</t>
  </si>
  <si>
    <t>S-252</t>
  </si>
  <si>
    <t>S-253</t>
  </si>
  <si>
    <t>S-254</t>
  </si>
  <si>
    <t>S-255</t>
  </si>
  <si>
    <t>S-256</t>
  </si>
  <si>
    <t>S-257</t>
  </si>
  <si>
    <t>S-258</t>
  </si>
  <si>
    <t>S-259</t>
  </si>
  <si>
    <t>S-260</t>
  </si>
  <si>
    <t>S-261</t>
  </si>
  <si>
    <t>S-262</t>
  </si>
  <si>
    <t>S-263</t>
  </si>
  <si>
    <t>S-264</t>
  </si>
  <si>
    <t>S-265</t>
  </si>
  <si>
    <t>S-266</t>
  </si>
  <si>
    <t>S-267</t>
  </si>
  <si>
    <t>S-268</t>
  </si>
  <si>
    <t>S-269</t>
  </si>
  <si>
    <t>S-270</t>
  </si>
  <si>
    <t>S-271</t>
  </si>
  <si>
    <t>S-272</t>
  </si>
  <si>
    <t>S-273</t>
  </si>
  <si>
    <t>S-274</t>
  </si>
  <si>
    <t>S-275</t>
  </si>
  <si>
    <t>S-276</t>
  </si>
  <si>
    <t>S-277</t>
  </si>
  <si>
    <t>S-278</t>
  </si>
  <si>
    <t>S-279</t>
  </si>
  <si>
    <t>S-280</t>
  </si>
  <si>
    <t>S-281</t>
  </si>
  <si>
    <t>S-282</t>
  </si>
  <si>
    <t>S-283</t>
  </si>
  <si>
    <t>S-284</t>
  </si>
  <si>
    <t>S-285</t>
  </si>
  <si>
    <t>S-286</t>
  </si>
  <si>
    <t>S-287</t>
  </si>
  <si>
    <t>S-288</t>
  </si>
  <si>
    <t>S-289</t>
  </si>
  <si>
    <t>S-290</t>
  </si>
  <si>
    <t>S-291</t>
  </si>
  <si>
    <t>S-292</t>
  </si>
  <si>
    <t>S-293</t>
  </si>
  <si>
    <t>S-294</t>
  </si>
  <si>
    <t>S-295</t>
  </si>
  <si>
    <t>S-296</t>
  </si>
  <si>
    <t>S-297</t>
  </si>
  <si>
    <t>S-298</t>
  </si>
  <si>
    <t>S-299</t>
  </si>
  <si>
    <t>S-300</t>
  </si>
  <si>
    <t>S-301</t>
  </si>
  <si>
    <t>S-302</t>
  </si>
  <si>
    <t>S-303</t>
  </si>
  <si>
    <t>S-304</t>
  </si>
  <si>
    <t>S-305</t>
  </si>
  <si>
    <t>S-306</t>
  </si>
  <si>
    <t>S-307</t>
  </si>
  <si>
    <t>S-308</t>
  </si>
  <si>
    <t>S-309</t>
  </si>
  <si>
    <t>S-310</t>
  </si>
  <si>
    <t>S-311</t>
  </si>
  <si>
    <t>S-312</t>
  </si>
  <si>
    <t>S-313</t>
  </si>
  <si>
    <t>S-314</t>
  </si>
  <si>
    <t>S-315</t>
  </si>
  <si>
    <t>S-316</t>
  </si>
  <si>
    <t>S-317</t>
  </si>
  <si>
    <t>S-318</t>
  </si>
  <si>
    <t>S-319</t>
  </si>
  <si>
    <t>S-320</t>
  </si>
  <si>
    <t>S-321</t>
  </si>
  <si>
    <t>S-322</t>
  </si>
  <si>
    <t>S-323</t>
  </si>
  <si>
    <t>S-324</t>
  </si>
  <si>
    <t>S-325</t>
  </si>
  <si>
    <t>S-326</t>
  </si>
  <si>
    <t>S-327</t>
  </si>
  <si>
    <t>S-328</t>
  </si>
  <si>
    <t>S-329</t>
  </si>
  <si>
    <t>S-330</t>
  </si>
  <si>
    <t>S-331</t>
  </si>
  <si>
    <t>S-332</t>
  </si>
  <si>
    <t>S-333</t>
  </si>
  <si>
    <t>S-334</t>
  </si>
  <si>
    <t>S-335</t>
  </si>
  <si>
    <t>S-336</t>
  </si>
  <si>
    <t>S-337</t>
  </si>
  <si>
    <t>S-338</t>
  </si>
  <si>
    <t>S-339</t>
  </si>
  <si>
    <t>S-340</t>
  </si>
  <si>
    <t>S-341</t>
  </si>
  <si>
    <t>S-342</t>
  </si>
  <si>
    <t>S-343</t>
  </si>
  <si>
    <t>S-344</t>
  </si>
  <si>
    <t>S-345</t>
  </si>
  <si>
    <t>S-346</t>
  </si>
  <si>
    <t>S-347</t>
  </si>
  <si>
    <t>S-348</t>
  </si>
  <si>
    <t>S-349</t>
  </si>
  <si>
    <t>S-350</t>
  </si>
  <si>
    <t>S-351</t>
  </si>
  <si>
    <t>S-352</t>
  </si>
  <si>
    <t>S-353</t>
  </si>
  <si>
    <t>S-354</t>
  </si>
  <si>
    <t>S-355</t>
  </si>
  <si>
    <t>S-356</t>
  </si>
  <si>
    <t>S-357</t>
  </si>
  <si>
    <t>S-358</t>
  </si>
  <si>
    <t>S-359</t>
  </si>
  <si>
    <t>S-360</t>
  </si>
  <si>
    <t>S-361</t>
  </si>
  <si>
    <t>S-362</t>
  </si>
  <si>
    <t>S-363</t>
  </si>
  <si>
    <t>S-364</t>
  </si>
  <si>
    <t>S-365</t>
  </si>
  <si>
    <t>S-366</t>
  </si>
  <si>
    <t>S-367</t>
  </si>
  <si>
    <t>S-368</t>
  </si>
  <si>
    <t>S-369</t>
  </si>
  <si>
    <t>S-370</t>
  </si>
  <si>
    <t>S-371</t>
  </si>
  <si>
    <t>S-372</t>
  </si>
  <si>
    <t>S-373</t>
  </si>
  <si>
    <t>S-374</t>
  </si>
  <si>
    <t>S-375</t>
  </si>
  <si>
    <t>S-376</t>
  </si>
  <si>
    <t>S-377</t>
  </si>
  <si>
    <t>S-378</t>
  </si>
  <si>
    <t>S-379</t>
  </si>
  <si>
    <t>S-380</t>
  </si>
  <si>
    <t>S-381</t>
  </si>
  <si>
    <t>S-382</t>
  </si>
  <si>
    <t>S-383</t>
  </si>
  <si>
    <t>S-384</t>
  </si>
  <si>
    <t>S-385</t>
  </si>
  <si>
    <t>S-386</t>
  </si>
  <si>
    <t>S-387</t>
  </si>
  <si>
    <t>S-388</t>
  </si>
  <si>
    <t>S-389</t>
  </si>
  <si>
    <t>S-390</t>
  </si>
  <si>
    <t>S-391</t>
  </si>
  <si>
    <t>S-392</t>
  </si>
  <si>
    <t>S-393</t>
  </si>
  <si>
    <t>S-394</t>
  </si>
  <si>
    <t>S-395</t>
  </si>
  <si>
    <t>S-396</t>
  </si>
  <si>
    <t>Progress - updates automatically from the Source Register</t>
  </si>
  <si>
    <t>By intern</t>
  </si>
  <si>
    <t>Intern</t>
  </si>
  <si>
    <t>Rows Assigned</t>
  </si>
  <si>
    <t>To Find</t>
  </si>
  <si>
    <t>Link Only / Licensed</t>
  </si>
  <si>
    <t>Blocked / Not Available</t>
  </si>
  <si>
    <t>Row Check OK</t>
  </si>
  <si>
    <t>QA Verified</t>
  </si>
  <si>
    <t>% Collected</t>
  </si>
  <si>
    <t>% QA Verified</t>
  </si>
  <si>
    <t>Total</t>
  </si>
  <si>
    <t>By category</t>
  </si>
  <si>
    <t>Rows</t>
  </si>
  <si>
    <t>Target from the manager's brief: well over 100 versioned documents. Rows grow as interns add one row per version, amendment, institution type and programme.</t>
  </si>
  <si>
    <t>Official register / portal pages - start your search here; later these feed the Daily Watcher</t>
  </si>
  <si>
    <t>Feed ID</t>
  </si>
  <si>
    <t>Page</t>
  </si>
  <si>
    <t>URL</t>
  </si>
  <si>
    <t>Feed Type</t>
  </si>
  <si>
    <t>Check Every (months)</t>
  </si>
  <si>
    <t>Last Checked</t>
  </si>
  <si>
    <t>New Documents Found?</t>
  </si>
  <si>
    <t>Rows in Register (this authority)</t>
  </si>
  <si>
    <t>F-01</t>
  </si>
  <si>
    <t>UGC Regulations register</t>
  </si>
  <si>
    <t>F-02</t>
  </si>
  <si>
    <t>UGC Guidelines register</t>
  </si>
  <si>
    <t>F-03</t>
  </si>
  <si>
    <t>NAAC assessment portal (SSR / QIF / templates)</t>
  </si>
  <si>
    <t>F-04</t>
  </si>
  <si>
    <t>NBA Accreditation Documents</t>
  </si>
  <si>
    <t>F-05</t>
  </si>
  <si>
    <t>NIRF Documents and methodology</t>
  </si>
  <si>
    <t>F-06</t>
  </si>
  <si>
    <t>Ministry of Education documents</t>
  </si>
  <si>
    <t>F-07</t>
  </si>
  <si>
    <t>AICTE model curriculum</t>
  </si>
  <si>
    <t>F-08</t>
  </si>
  <si>
    <t>DGT ITI grading guidelines</t>
  </si>
  <si>
    <t>F-09</t>
  </si>
  <si>
    <t>NCVET portal</t>
  </si>
  <si>
    <t>F-10</t>
  </si>
  <si>
    <t>Academic Bank of Credits portal</t>
  </si>
  <si>
    <t>F-11</t>
  </si>
  <si>
    <t>DPDP Rules 2025 page</t>
  </si>
  <si>
    <t>F-12</t>
  </si>
  <si>
    <t>CERT-In Directions 70B page</t>
  </si>
  <si>
    <t>F-13</t>
  </si>
  <si>
    <t>CERT-In portal (advisories)</t>
  </si>
  <si>
    <t>F-14</t>
  </si>
  <si>
    <t>MeitY AI and Emerging Technologies division</t>
  </si>
  <si>
    <t>F-15</t>
  </si>
  <si>
    <t>NIST AI RMF resources</t>
  </si>
  <si>
    <t>F-16</t>
  </si>
  <si>
    <t>UNESCO digital education / AI competencies</t>
  </si>
  <si>
    <t>F-17</t>
  </si>
  <si>
    <t>ISO AI management systems page</t>
  </si>
  <si>
    <t>F-18</t>
  </si>
  <si>
    <t>National Quantum Mission</t>
  </si>
  <si>
    <t>Reference only: the 60 benchmarks from the manager's Source Pack v0.2 (for the "Related Benchmark IDs" column)</t>
  </si>
  <si>
    <t>Benchmark ID</t>
  </si>
  <si>
    <t>Pillar ID</t>
  </si>
  <si>
    <t>Pillar</t>
  </si>
  <si>
    <t>Benchmark Domain</t>
  </si>
  <si>
    <t>Source Basis</t>
  </si>
  <si>
    <t>Benchmark Class</t>
  </si>
  <si>
    <t>GOV-01</t>
  </si>
  <si>
    <t>P01</t>
  </si>
  <si>
    <t>Institutional governance, quality and compliance</t>
  </si>
  <si>
    <t>Strategic direction and institutional development</t>
  </si>
  <si>
    <t>UGC Institutional Development Plans; NAAC C6</t>
  </si>
  <si>
    <t>Mandatory/authoritative source mapping plus maturity benchmark</t>
  </si>
  <si>
    <t>GOV-02</t>
  </si>
  <si>
    <t>Governing bodies and delegated authority</t>
  </si>
  <si>
    <t>NAAC C6; applicable statutes</t>
  </si>
  <si>
    <t>GOV-03</t>
  </si>
  <si>
    <t>Quality assurance and continuous improvement</t>
  </si>
  <si>
    <t>NAAC C6</t>
  </si>
  <si>
    <t>GOV-04</t>
  </si>
  <si>
    <t>Regulatory, accreditation and disclosure compliance</t>
  </si>
  <si>
    <t>NAAC; UGC; AICTE; DGT; NBA</t>
  </si>
  <si>
    <t>GOV-05</t>
  </si>
  <si>
    <t>Enterprise risk, internal control and audit</t>
  </si>
  <si>
    <t>InGage proposed; applicable audit rules</t>
  </si>
  <si>
    <t>Proposed InGage maturity benchmark</t>
  </si>
  <si>
    <t>GOV-06</t>
  </si>
  <si>
    <t>Financial governance and resource stewardship</t>
  </si>
  <si>
    <t>NAAC C6; NIRF; AICTE/DGT where applicable</t>
  </si>
  <si>
    <t>GOV-07</t>
  </si>
  <si>
    <t>Policy lifecycle and records governance</t>
  </si>
  <si>
    <t>InGage proposed; legal/regulatory context</t>
  </si>
  <si>
    <t>GOV-08</t>
  </si>
  <si>
    <t>Institutional reputation, communication and transparency</t>
  </si>
  <si>
    <t>UGC public self-disclosure guidance; NAAC</t>
  </si>
  <si>
    <t>ACA-01</t>
  </si>
  <si>
    <t>P02</t>
  </si>
  <si>
    <t>Academic design and delivery</t>
  </si>
  <si>
    <t>Curriculum relevance and revision</t>
  </si>
  <si>
    <t>NAAC C1; UGC; AICTE/DGT; NBA</t>
  </si>
  <si>
    <t>ACA-02</t>
  </si>
  <si>
    <t>Outcome-based education and competency alignment</t>
  </si>
  <si>
    <t>NBA; NAAC; AICTE/DGT where applicable</t>
  </si>
  <si>
    <t>ACA-03</t>
  </si>
  <si>
    <t>Multidisciplinary, flexible and lifelong learning</t>
  </si>
  <si>
    <t>NEP 2020; UGC frameworks</t>
  </si>
  <si>
    <t>ACA-04</t>
  </si>
  <si>
    <t>Teaching-learning design and delivery</t>
  </si>
  <si>
    <t>NAAC C2; NBA; DGT</t>
  </si>
  <si>
    <t>ACA-05</t>
  </si>
  <si>
    <t>Assessment, examination and academic integrity</t>
  </si>
  <si>
    <t>NAAC C2; UGC plagiarism; NBA/DGT</t>
  </si>
  <si>
    <t>ACA-06</t>
  </si>
  <si>
    <t>Online, blended and digital learning quality</t>
  </si>
  <si>
    <t>UGC ODL/Online regulations; UNESCO</t>
  </si>
  <si>
    <t>ACA-07</t>
  </si>
  <si>
    <t>Academic administration and learner records</t>
  </si>
  <si>
    <t>UGC; NAAC; DGT</t>
  </si>
  <si>
    <t>PEO-01</t>
  </si>
  <si>
    <t>P03</t>
  </si>
  <si>
    <t>Faculty and workforce</t>
  </si>
  <si>
    <t>Faculty recruitment, qualification and deployment</t>
  </si>
  <si>
    <t>UGC; AICTE APH; NBA; DGT</t>
  </si>
  <si>
    <t>PEO-02</t>
  </si>
  <si>
    <t>Faculty development and professional practice</t>
  </si>
  <si>
    <t>UGC MMTTP; NAAC; NBA; UNESCO</t>
  </si>
  <si>
    <t>PEO-03</t>
  </si>
  <si>
    <t>Faculty AI and digital capability</t>
  </si>
  <si>
    <t>UNESCO teacher framework; InGage proposed</t>
  </si>
  <si>
    <t>PEO-04</t>
  </si>
  <si>
    <t>Staff capability, wellbeing and workforce planning</t>
  </si>
  <si>
    <t>NAAC C6/C7; InGage proposed</t>
  </si>
  <si>
    <t>STU-01</t>
  </si>
  <si>
    <t>P04</t>
  </si>
  <si>
    <t>Students, inclusion and success</t>
  </si>
  <si>
    <t>Admissions, access and student diversity</t>
  </si>
  <si>
    <t>NAAC C2; NIRF; UGC</t>
  </si>
  <si>
    <t>STU-02</t>
  </si>
  <si>
    <t>Student support, mentoring and wellbeing</t>
  </si>
  <si>
    <t>NAAC C5; UGC</t>
  </si>
  <si>
    <t>STU-03</t>
  </si>
  <si>
    <t>Equity, accessibility and inclusion</t>
  </si>
  <si>
    <t>UGC accessibility and SEDG guidance; NAAC</t>
  </si>
  <si>
    <t>STU-04</t>
  </si>
  <si>
    <t>Student safety, grievance and protection</t>
  </si>
  <si>
    <t>UGC regulations/guidance; NAAC</t>
  </si>
  <si>
    <t>STU-05</t>
  </si>
  <si>
    <t>Student AI literacy and agency</t>
  </si>
  <si>
    <t>UNESCO student framework; InGage proposed</t>
  </si>
  <si>
    <t>STU-06</t>
  </si>
  <si>
    <t>Progression, employability and alumni outcomes</t>
  </si>
  <si>
    <t>NAAC C5; NIRF; NBA; DGT</t>
  </si>
  <si>
    <t>RES-01</t>
  </si>
  <si>
    <t>P05</t>
  </si>
  <si>
    <t>Research, innovation and impact</t>
  </si>
  <si>
    <t>Research governance and ethical review</t>
  </si>
  <si>
    <t>UGC R&amp;D Cell guidance; NAAC C3</t>
  </si>
  <si>
    <t>RES-02</t>
  </si>
  <si>
    <t>Research productivity, quality and impact</t>
  </si>
  <si>
    <t>NAAC C3; NIRF; NBA</t>
  </si>
  <si>
    <t>RES-03</t>
  </si>
  <si>
    <t>Research integrity, IP and knowledge transfer</t>
  </si>
  <si>
    <t>UGC plagiarism; NAAC; NIRF</t>
  </si>
  <si>
    <t>RES-04</t>
  </si>
  <si>
    <t>Industry partnership, internships and practice</t>
  </si>
  <si>
    <t>UGC industry linkage; NAAC; NBA; DGT</t>
  </si>
  <si>
    <t>RES-05</t>
  </si>
  <si>
    <t>Entrepreneurship, incubation and startup support</t>
  </si>
  <si>
    <t>NIRF Innovation; NAAC; AICTE</t>
  </si>
  <si>
    <t>RES-06</t>
  </si>
  <si>
    <t>Community engagement and societal impact</t>
  </si>
  <si>
    <t>NAAC C3; UGC community engagement guidance</t>
  </si>
  <si>
    <t>OPS-01</t>
  </si>
  <si>
    <t>P06</t>
  </si>
  <si>
    <t>Physical infrastructure and operations</t>
  </si>
  <si>
    <t>Campus, classroom, laboratory and library readiness</t>
  </si>
  <si>
    <t>NAAC C4; AICTE APH; NBA; DGT</t>
  </si>
  <si>
    <t>OPS-02</t>
  </si>
  <si>
    <t>Accessibility, universal design and assistive technology</t>
  </si>
  <si>
    <t>UGC accessibility guidance; RPwD context</t>
  </si>
  <si>
    <t>OPS-03</t>
  </si>
  <si>
    <t>Procurement, vendor and asset lifecycle</t>
  </si>
  <si>
    <t>InGage proposed; public procurement context</t>
  </si>
  <si>
    <t>OPS-04</t>
  </si>
  <si>
    <t>Business continuity, disaster recovery and emergency preparedness</t>
  </si>
  <si>
    <t>InGage proposed; CERT-In context</t>
  </si>
  <si>
    <t>OPS-05</t>
  </si>
  <si>
    <t>Service operations and stakeholder experience</t>
  </si>
  <si>
    <t>InGage proposed</t>
  </si>
  <si>
    <t>DIG-01</t>
  </si>
  <si>
    <t>P07</t>
  </si>
  <si>
    <t>Digital foundation</t>
  </si>
  <si>
    <t>Digital strategy, enterprise architecture and interoperability</t>
  </si>
  <si>
    <t>InGage proposed; Digital India context</t>
  </si>
  <si>
    <t>DIG-02</t>
  </si>
  <si>
    <t>Connectivity, cloud, platforms and end-user services</t>
  </si>
  <si>
    <t>AICTE/DGT context; InGage proposed</t>
  </si>
  <si>
    <t>DIG-03</t>
  </si>
  <si>
    <t>Data governance, privacy and consent</t>
  </si>
  <si>
    <t>DPDP Act/Rules; InGage proposed</t>
  </si>
  <si>
    <t>DIG-04</t>
  </si>
  <si>
    <t>Cybersecurity, security operations and resilience</t>
  </si>
  <si>
    <t>CERT-In Directions; InGage proposed</t>
  </si>
  <si>
    <t>DIG-05</t>
  </si>
  <si>
    <t>Digital accessibility and inclusive user experience</t>
  </si>
  <si>
    <t>UGC accessibility guidance; WCAG as guidance</t>
  </si>
  <si>
    <t>DIG-06</t>
  </si>
  <si>
    <t>Digital records, analytics and decision intelligence</t>
  </si>
  <si>
    <t>NIRF/NAAC data context; InGage proposed</t>
  </si>
  <si>
    <t>AI-01</t>
  </si>
  <si>
    <t>P08</t>
  </si>
  <si>
    <t>AI transformation</t>
  </si>
  <si>
    <t>AI strategy, governance and portfolio</t>
  </si>
  <si>
    <t>NIST AI RMF; ISO/IEC 42001; IndiaAI; InGage proposed</t>
  </si>
  <si>
    <t>AI-02</t>
  </si>
  <si>
    <t>Responsible AI, ethics and human oversight</t>
  </si>
  <si>
    <t>NIST AI RMF; ISO/IEC 42001/42005; UNESCO</t>
  </si>
  <si>
    <t>Guidance-backed maturity benchmark</t>
  </si>
  <si>
    <t>AI-03</t>
  </si>
  <si>
    <t>AI data, model and supplier governance</t>
  </si>
  <si>
    <t>NIST AI RMF; ISO/IEC 42001; InGage proposed</t>
  </si>
  <si>
    <t>AI-04</t>
  </si>
  <si>
    <t>AI security, safety and adversarial resilience</t>
  </si>
  <si>
    <t>NIST AI RMF/GenAI Profile; CERT-In; InGage proposed</t>
  </si>
  <si>
    <t>AI-05</t>
  </si>
  <si>
    <t>AI-enabled teaching, learning and learner support</t>
  </si>
  <si>
    <t>UNESCO GenAI guidance; InGage proposed</t>
  </si>
  <si>
    <t>AI-06</t>
  </si>
  <si>
    <t>AI-aware assessment and integrity assurance</t>
  </si>
  <si>
    <t>UGC plagiarism; UNESCO GenAI guidance; InGage proposed</t>
  </si>
  <si>
    <t>AI-07</t>
  </si>
  <si>
    <t>AI research, experimentation and innovation</t>
  </si>
  <si>
    <t>UGC R&amp;D guidance; NIST; IndiaAI</t>
  </si>
  <si>
    <t>AI-08</t>
  </si>
  <si>
    <t>AI platforms, MLOps and operations</t>
  </si>
  <si>
    <t>ISO/IEC 42001; NIST; InGage proposed</t>
  </si>
  <si>
    <t>EMT-01</t>
  </si>
  <si>
    <t>P09</t>
  </si>
  <si>
    <t>Emerging technology readiness</t>
  </si>
  <si>
    <t>XR, spatial computing and immersive learning</t>
  </si>
  <si>
    <t>InGage proposed; UNESCO/AICTE context</t>
  </si>
  <si>
    <t>EMT-02</t>
  </si>
  <si>
    <t>Robotics, IoT and intelligent automation</t>
  </si>
  <si>
    <t>AICTE/DGT/NBA context; InGage proposed</t>
  </si>
  <si>
    <t>EMT-03</t>
  </si>
  <si>
    <t>Digital twins, simulation and virtual laboratories</t>
  </si>
  <si>
    <t>AICTE/NBA context; InGage proposed</t>
  </si>
  <si>
    <t>EMT-04</t>
  </si>
  <si>
    <t>Blockchain, verifiable credentials and digital trust</t>
  </si>
  <si>
    <t>UGC/NAD/ABC context; InGage proposed</t>
  </si>
  <si>
    <t>EMT-05</t>
  </si>
  <si>
    <t>Quantum readiness and advanced computing</t>
  </si>
  <si>
    <t>National Quantum Mission context; InGage proposed</t>
  </si>
  <si>
    <t>EMT-06</t>
  </si>
  <si>
    <t>AI agents, workflow automation and digital labour</t>
  </si>
  <si>
    <t>NIST; ISO/IEC; InGage proposed</t>
  </si>
  <si>
    <t>SUS-01</t>
  </si>
  <si>
    <t>P10</t>
  </si>
  <si>
    <t>Sustainability and social responsibility</t>
  </si>
  <si>
    <t>Environmental management and campus sustainability</t>
  </si>
  <si>
    <t>NAAC C7; NIRF Sustainable Institution</t>
  </si>
  <si>
    <t>SUS-02</t>
  </si>
  <si>
    <t>Green IT, responsible compute and e-waste</t>
  </si>
  <si>
    <t>InGage proposed; environmental context</t>
  </si>
  <si>
    <t>SUS-03</t>
  </si>
  <si>
    <t>Ethics, values and responsible citizenship</t>
  </si>
  <si>
    <t>NAAC C7; NEP 2020</t>
  </si>
  <si>
    <t>SUS-04</t>
  </si>
  <si>
    <t>Climate resilience and institutional resilience</t>
  </si>
  <si>
    <t>Daily Log - one line per intern per day</t>
  </si>
  <si>
    <t>Date</t>
  </si>
  <si>
    <t>Rows Completed Today</t>
  </si>
  <si>
    <t>Rows Started</t>
  </si>
  <si>
    <t>Hours</t>
  </si>
  <si>
    <t>Blockers / Questions</t>
  </si>
  <si>
    <t>Answered By</t>
  </si>
  <si>
    <t>Answer</t>
  </si>
  <si>
    <t>NAAC portal needs login for SSR manuals - marked "Blocked - portal/login" on S-002 to S-004.</t>
  </si>
  <si>
    <t>Supervisor</t>
  </si>
  <si>
    <t>OK - manager will provide NAAC files.</t>
  </si>
  <si>
    <t>Dropdown values (edit here to change the dropdowns; rename interns in column A)</t>
  </si>
  <si>
    <t>Interns</t>
  </si>
  <si>
    <t>Categories</t>
  </si>
  <si>
    <t>Authority Kinds</t>
  </si>
  <si>
    <t>Source Roles</t>
  </si>
  <si>
    <t>Document Types</t>
  </si>
  <si>
    <t>Yes / No</t>
  </si>
  <si>
    <t>Feed Types</t>
  </si>
  <si>
    <t>Review Cadence</t>
  </si>
  <si>
    <t>Authorities</t>
  </si>
  <si>
    <t>Current (amended)</t>
  </si>
  <si>
    <t>rss</t>
  </si>
  <si>
    <t>Superseded</t>
  </si>
  <si>
    <t>Found - link only</t>
  </si>
  <si>
    <t>api</t>
  </si>
  <si>
    <t>Needs fix</t>
  </si>
  <si>
    <t>Amendment</t>
  </si>
  <si>
    <t>Withdrawn</t>
  </si>
  <si>
    <t>Blocked - portal/login</t>
  </si>
  <si>
    <t>Draft</t>
  </si>
  <si>
    <t>Not available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</si>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</sst>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-mmm\-yyyy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7F7F7F"/>
      </patternFill>
    </fill>
    <fill>
      <patternFill patternType="solid">
        <fgColor rgb="FF1F4E79"/>
      </patternFill>
    </fill>
    <fill>
      <patternFill patternType="solid">
        <fgColor rgb="FFC55A11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3" borderId="0" xfId="0" applyFill="1"/>
    <xf numFmtId="0" fontId="6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165" fontId="4" fillId="5" borderId="1" xfId="0" applyNumberFormat="1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0" borderId="0" xfId="0" applyFont="1"/>
    <xf numFmtId="0" fontId="4" fillId="0" borderId="1" xfId="0" applyFont="1" applyBorder="1"/>
    <xf numFmtId="9" fontId="4" fillId="0" borderId="1" xfId="0" applyNumberFormat="1" applyFont="1" applyBorder="1"/>
    <xf numFmtId="0" fontId="6" fillId="0" borderId="1" xfId="0" applyFont="1" applyBorder="1"/>
    <xf numFmtId="9" fontId="6" fillId="0" borderId="1" xfId="0" applyNumberFormat="1" applyFont="1" applyBorder="1"/>
    <xf numFmtId="9" fontId="0" fillId="0" borderId="1" xfId="0" applyNumberFormat="1" applyBorder="1"/>
    <xf numFmtId="165" fontId="0" fillId="0" borderId="1" xfId="0" applyNumberFormat="1" applyBorder="1"/>
    <xf numFmtId="0" fontId="0" fillId="0" borderId="1" xfId="0" applyBorder="1"/>
    <xf numFmtId="165" fontId="4" fillId="0" borderId="1" xfId="0" applyNumberFormat="1" applyFont="1" applyBorder="1"/>
    <xf numFmtId="0" fontId="3" fillId="3" borderId="0" xfId="0" applyFont="1" applyFill="1"/>
    <xf numFmtId="0" fontId="4" fillId="0" borderId="0" xfId="0" applyFont="1"/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4">
    <dxf>
      <font>
        <color rgb="FF9C0006"/>
        <name val="Arial"/>
      </font>
      <fill>
        <patternFill patternType="solid">
          <fgColor rgb="FFFFC7CE"/>
        </patternFill>
      </fill>
    </dxf>
    <dxf>
      <font>
        <color rgb="FF9C5700"/>
        <name val="Arial"/>
      </font>
      <fill>
        <patternFill patternType="solid">
          <fgColor rgb="FFFFEB9C"/>
        </patternFill>
      </fill>
    </dxf>
    <dxf>
      <font>
        <color rgb="FF7F7F7F"/>
        <name val="Arial"/>
      </font>
      <fill>
        <patternFill patternType="solid">
          <fgColor rgb="FFF2F2F2"/>
        </patternFill>
      </fill>
    </dxf>
    <dxf>
      <font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ugc.gov.in/Guideline" TargetMode="External"/><Relationship Id="rId21" Type="http://schemas.openxmlformats.org/officeDocument/2006/relationships/hyperlink" Target="https://www.nirfindia.org/Home/Documents" TargetMode="External"/><Relationship Id="rId42" Type="http://schemas.openxmlformats.org/officeDocument/2006/relationships/hyperlink" Target="https://www.ugc.gov.in/Guideline" TargetMode="External"/><Relationship Id="rId47" Type="http://schemas.openxmlformats.org/officeDocument/2006/relationships/hyperlink" Target="https://www.ugc.gov.in/Regulations" TargetMode="External"/><Relationship Id="rId63" Type="http://schemas.openxmlformats.org/officeDocument/2006/relationships/hyperlink" Target="https://www.meity.gov.in/" TargetMode="External"/><Relationship Id="rId68" Type="http://schemas.openxmlformats.org/officeDocument/2006/relationships/hyperlink" Target="https://www.cert-in.org.in/PDF/CERT-In_Directions_70B_28.04.2022.pdf" TargetMode="External"/><Relationship Id="rId84" Type="http://schemas.openxmlformats.org/officeDocument/2006/relationships/hyperlink" Target="https://www.iso.org/" TargetMode="External"/><Relationship Id="rId89" Type="http://schemas.openxmlformats.org/officeDocument/2006/relationships/hyperlink" Target="https://www.1edtech.org/" TargetMode="External"/><Relationship Id="rId16" Type="http://schemas.openxmlformats.org/officeDocument/2006/relationships/hyperlink" Target="https://www.nbaind.org/Downloads/Documents" TargetMode="External"/><Relationship Id="rId11" Type="http://schemas.openxmlformats.org/officeDocument/2006/relationships/hyperlink" Target="https://www.nbaind.org/Downloads/Documents" TargetMode="External"/><Relationship Id="rId32" Type="http://schemas.openxmlformats.org/officeDocument/2006/relationships/hyperlink" Target="https://www.ugc.gov.in/Guideline" TargetMode="External"/><Relationship Id="rId37" Type="http://schemas.openxmlformats.org/officeDocument/2006/relationships/hyperlink" Target="https://www.ugc.gov.in/Regulations" TargetMode="External"/><Relationship Id="rId53" Type="http://schemas.openxmlformats.org/officeDocument/2006/relationships/hyperlink" Target="https://dgt.gov.in/" TargetMode="External"/><Relationship Id="rId58" Type="http://schemas.openxmlformats.org/officeDocument/2006/relationships/hyperlink" Target="https://dgt.gov.in/" TargetMode="External"/><Relationship Id="rId74" Type="http://schemas.openxmlformats.org/officeDocument/2006/relationships/hyperlink" Target="https://www.nist.gov/itl/ai-risk-management-framework/ai-risk-management-framework-resources" TargetMode="External"/><Relationship Id="rId79" Type="http://schemas.openxmlformats.org/officeDocument/2006/relationships/hyperlink" Target="https://www.iso.org/artificial-intelligence/ai-management-systems" TargetMode="External"/><Relationship Id="rId5" Type="http://schemas.openxmlformats.org/officeDocument/2006/relationships/hyperlink" Target="https://assessmentonline.naac.gov.in/" TargetMode="External"/><Relationship Id="rId90" Type="http://schemas.openxmlformats.org/officeDocument/2006/relationships/hyperlink" Target="https://www.1edtech.org/" TargetMode="External"/><Relationship Id="rId22" Type="http://schemas.openxmlformats.org/officeDocument/2006/relationships/hyperlink" Target="https://www.nirfindia.org/Home/Documents" TargetMode="External"/><Relationship Id="rId27" Type="http://schemas.openxmlformats.org/officeDocument/2006/relationships/hyperlink" Target="https://www.ugc.gov.in/Regulations" TargetMode="External"/><Relationship Id="rId43" Type="http://schemas.openxmlformats.org/officeDocument/2006/relationships/hyperlink" Target="https://www.ugc.gov.in/Guideline" TargetMode="External"/><Relationship Id="rId48" Type="http://schemas.openxmlformats.org/officeDocument/2006/relationships/hyperlink" Target="https://www.aicte-india.org/" TargetMode="External"/><Relationship Id="rId64" Type="http://schemas.openxmlformats.org/officeDocument/2006/relationships/hyperlink" Target="https://www.meity.gov.in/static/uploads/2024/02/Digital-Personal-Data-Protection-Act-2023.pdf" TargetMode="External"/><Relationship Id="rId69" Type="http://schemas.openxmlformats.org/officeDocument/2006/relationships/hyperlink" Target="https://www.cert-in.org.in/" TargetMode="External"/><Relationship Id="rId8" Type="http://schemas.openxmlformats.org/officeDocument/2006/relationships/hyperlink" Target="https://www.nbaind.org/Downloads/Documents" TargetMode="External"/><Relationship Id="rId51" Type="http://schemas.openxmlformats.org/officeDocument/2006/relationships/hyperlink" Target="https://www.aicte-india.org/" TargetMode="External"/><Relationship Id="rId72" Type="http://schemas.openxmlformats.org/officeDocument/2006/relationships/hyperlink" Target="https://www.unesco.org/en/articles/ai-competency-framework-teachers?hub=365" TargetMode="External"/><Relationship Id="rId80" Type="http://schemas.openxmlformats.org/officeDocument/2006/relationships/hyperlink" Target="https://www.iso.org/publication/PUB200420.html" TargetMode="External"/><Relationship Id="rId85" Type="http://schemas.openxmlformats.org/officeDocument/2006/relationships/hyperlink" Target="https://www.meity.gov.in/ministry/our-groups/details/ai-emerging-technologies-division-QN5EDOtQWa" TargetMode="External"/><Relationship Id="rId93" Type="http://schemas.openxmlformats.org/officeDocument/2006/relationships/comments" Target="../comments1.xml"/><Relationship Id="rId3" Type="http://schemas.openxmlformats.org/officeDocument/2006/relationships/hyperlink" Target="https://assessmentonline.naac.gov.in/" TargetMode="External"/><Relationship Id="rId12" Type="http://schemas.openxmlformats.org/officeDocument/2006/relationships/hyperlink" Target="https://www.nbaind.org/files/Publication/PublicationTitles/NBA_UGEngg_Tier_II_Manual_Format_20250121123952.pdf" TargetMode="External"/><Relationship Id="rId17" Type="http://schemas.openxmlformats.org/officeDocument/2006/relationships/hyperlink" Target="https://www.nbaind.org/Downloads/Documents" TargetMode="External"/><Relationship Id="rId25" Type="http://schemas.openxmlformats.org/officeDocument/2006/relationships/hyperlink" Target="https://www.ugc.gov.in/Guideline" TargetMode="External"/><Relationship Id="rId33" Type="http://schemas.openxmlformats.org/officeDocument/2006/relationships/hyperlink" Target="https://www.ugc.gov.in/Guideline" TargetMode="External"/><Relationship Id="rId38" Type="http://schemas.openxmlformats.org/officeDocument/2006/relationships/hyperlink" Target="https://www.ugc.gov.in/Guideline" TargetMode="External"/><Relationship Id="rId46" Type="http://schemas.openxmlformats.org/officeDocument/2006/relationships/hyperlink" Target="https://www.ugc.gov.in/Regulations" TargetMode="External"/><Relationship Id="rId59" Type="http://schemas.openxmlformats.org/officeDocument/2006/relationships/hyperlink" Target="https://ncvet.gov.in/" TargetMode="External"/><Relationship Id="rId67" Type="http://schemas.openxmlformats.org/officeDocument/2006/relationships/hyperlink" Target="https://www.cert-in.org.in/Directions70B.jsp" TargetMode="External"/><Relationship Id="rId20" Type="http://schemas.openxmlformats.org/officeDocument/2006/relationships/hyperlink" Target="https://www.nirfindia.org/Home/Documents" TargetMode="External"/><Relationship Id="rId41" Type="http://schemas.openxmlformats.org/officeDocument/2006/relationships/hyperlink" Target="https://www.ugc.gov.in/Guideline" TargetMode="External"/><Relationship Id="rId54" Type="http://schemas.openxmlformats.org/officeDocument/2006/relationships/hyperlink" Target="https://dgt.gov.in/sites/default/files/2025-12/Circular-for-Affiliation-Norms-for-ITIs-2025_0.pdf" TargetMode="External"/><Relationship Id="rId62" Type="http://schemas.openxmlformats.org/officeDocument/2006/relationships/hyperlink" Target="https://www.abc.gov.in/" TargetMode="External"/><Relationship Id="rId70" Type="http://schemas.openxmlformats.org/officeDocument/2006/relationships/hyperlink" Target="https://www.meity.gov.in/" TargetMode="External"/><Relationship Id="rId75" Type="http://schemas.openxmlformats.org/officeDocument/2006/relationships/hyperlink" Target="https://nvlpubs.nist.gov/nistpubs/ai/NIST.AI.100-1.pdf" TargetMode="External"/><Relationship Id="rId83" Type="http://schemas.openxmlformats.org/officeDocument/2006/relationships/hyperlink" Target="https://www.iso.org/" TargetMode="External"/><Relationship Id="rId88" Type="http://schemas.openxmlformats.org/officeDocument/2006/relationships/hyperlink" Target="https://www.w3.org/WAI/" TargetMode="External"/><Relationship Id="rId91" Type="http://schemas.openxmlformats.org/officeDocument/2006/relationships/hyperlink" Target="https://www.khronos.org/openxr/" TargetMode="External"/><Relationship Id="rId1" Type="http://schemas.openxmlformats.org/officeDocument/2006/relationships/hyperlink" Target="https://assessmentonline.naac.gov.in/" TargetMode="External"/><Relationship Id="rId6" Type="http://schemas.openxmlformats.org/officeDocument/2006/relationships/hyperlink" Target="https://assessmentonline.naac.gov.in/" TargetMode="External"/><Relationship Id="rId15" Type="http://schemas.openxmlformats.org/officeDocument/2006/relationships/hyperlink" Target="https://www.nbaind.org/Downloads/Documents" TargetMode="External"/><Relationship Id="rId23" Type="http://schemas.openxmlformats.org/officeDocument/2006/relationships/hyperlink" Target="https://www.ugc.gov.in/Regulations" TargetMode="External"/><Relationship Id="rId28" Type="http://schemas.openxmlformats.org/officeDocument/2006/relationships/hyperlink" Target="https://www.ugc.gov.in/Regulations" TargetMode="External"/><Relationship Id="rId36" Type="http://schemas.openxmlformats.org/officeDocument/2006/relationships/hyperlink" Target="https://www.ugc.gov.in/Regulations" TargetMode="External"/><Relationship Id="rId49" Type="http://schemas.openxmlformats.org/officeDocument/2006/relationships/hyperlink" Target="https://www.aicte-india.org/education/model-curriculum" TargetMode="External"/><Relationship Id="rId57" Type="http://schemas.openxmlformats.org/officeDocument/2006/relationships/hyperlink" Target="https://dgt.gov.in/" TargetMode="External"/><Relationship Id="rId10" Type="http://schemas.openxmlformats.org/officeDocument/2006/relationships/hyperlink" Target="https://www.nbaind.org/files/General_Manual_V1.0_Format_20240423170211.pdf" TargetMode="External"/><Relationship Id="rId31" Type="http://schemas.openxmlformats.org/officeDocument/2006/relationships/hyperlink" Target="https://www.ugc.gov.in/Guideline" TargetMode="External"/><Relationship Id="rId44" Type="http://schemas.openxmlformats.org/officeDocument/2006/relationships/hyperlink" Target="https://www.education.gov.in/" TargetMode="External"/><Relationship Id="rId52" Type="http://schemas.openxmlformats.org/officeDocument/2006/relationships/hyperlink" Target="https://www.aicte-india.org/" TargetMode="External"/><Relationship Id="rId60" Type="http://schemas.openxmlformats.org/officeDocument/2006/relationships/hyperlink" Target="https://ncvet.gov.in/" TargetMode="External"/><Relationship Id="rId65" Type="http://schemas.openxmlformats.org/officeDocument/2006/relationships/hyperlink" Target="https://www.meity.gov.in/documents/act-and-policies/digital-personal-data-protection-rules-2025-gDOxUjMtQWa?pageTitle=Digital-Personal-Data-Protection-Rules-2025" TargetMode="External"/><Relationship Id="rId73" Type="http://schemas.openxmlformats.org/officeDocument/2006/relationships/hyperlink" Target="https://www.unesco.org/en/digital-education/g77-competencies" TargetMode="External"/><Relationship Id="rId78" Type="http://schemas.openxmlformats.org/officeDocument/2006/relationships/hyperlink" Target="https://www.nist.gov/itl/ai-risk-management-framework/ai-risk-management-framework-resources" TargetMode="External"/><Relationship Id="rId81" Type="http://schemas.openxmlformats.org/officeDocument/2006/relationships/hyperlink" Target="https://www.iso.org/" TargetMode="External"/><Relationship Id="rId86" Type="http://schemas.openxmlformats.org/officeDocument/2006/relationships/hyperlink" Target="https://www.nirfindia.org/Home/Documents" TargetMode="External"/><Relationship Id="rId4" Type="http://schemas.openxmlformats.org/officeDocument/2006/relationships/hyperlink" Target="https://assessmentonline.naac.gov.in/" TargetMode="External"/><Relationship Id="rId9" Type="http://schemas.openxmlformats.org/officeDocument/2006/relationships/hyperlink" Target="https://www.nbaind.org/Downloads/Documents" TargetMode="External"/><Relationship Id="rId13" Type="http://schemas.openxmlformats.org/officeDocument/2006/relationships/hyperlink" Target="https://www.nbaind.org/Downloads/Documents" TargetMode="External"/><Relationship Id="rId18" Type="http://schemas.openxmlformats.org/officeDocument/2006/relationships/hyperlink" Target="https://www.nbaind.org/Downloads/Documents" TargetMode="External"/><Relationship Id="rId39" Type="http://schemas.openxmlformats.org/officeDocument/2006/relationships/hyperlink" Target="https://www.ugc.gov.in/Guideline" TargetMode="External"/><Relationship Id="rId34" Type="http://schemas.openxmlformats.org/officeDocument/2006/relationships/hyperlink" Target="https://www.ugc.gov.in/Regulations" TargetMode="External"/><Relationship Id="rId50" Type="http://schemas.openxmlformats.org/officeDocument/2006/relationships/hyperlink" Target="https://www.aicte-india.org/" TargetMode="External"/><Relationship Id="rId55" Type="http://schemas.openxmlformats.org/officeDocument/2006/relationships/hyperlink" Target="https://dgt.gov.in/en/guidelines-grading" TargetMode="External"/><Relationship Id="rId76" Type="http://schemas.openxmlformats.org/officeDocument/2006/relationships/hyperlink" Target="https://www.nist.gov/itl/ai-risk-management-framework/ai-risk-management-framework-resources" TargetMode="External"/><Relationship Id="rId7" Type="http://schemas.openxmlformats.org/officeDocument/2006/relationships/hyperlink" Target="https://www.nbaind.org/Downloads/Documents" TargetMode="External"/><Relationship Id="rId71" Type="http://schemas.openxmlformats.org/officeDocument/2006/relationships/hyperlink" Target="https://www.unesco.org/en/digital-education/g77-competencies" TargetMode="External"/><Relationship Id="rId92" Type="http://schemas.openxmlformats.org/officeDocument/2006/relationships/vmlDrawing" Target="../drawings/vmlDrawing1.vml"/><Relationship Id="rId2" Type="http://schemas.openxmlformats.org/officeDocument/2006/relationships/hyperlink" Target="https://assessmentonline.naac.gov.in/" TargetMode="External"/><Relationship Id="rId29" Type="http://schemas.openxmlformats.org/officeDocument/2006/relationships/hyperlink" Target="https://www.ugc.gov.in/Regulations" TargetMode="External"/><Relationship Id="rId24" Type="http://schemas.openxmlformats.org/officeDocument/2006/relationships/hyperlink" Target="https://www.ugc.gov.in/Regulations" TargetMode="External"/><Relationship Id="rId40" Type="http://schemas.openxmlformats.org/officeDocument/2006/relationships/hyperlink" Target="https://www.ugc.gov.in/Guideline" TargetMode="External"/><Relationship Id="rId45" Type="http://schemas.openxmlformats.org/officeDocument/2006/relationships/hyperlink" Target="https://www.ugc.gov.in/Regulations" TargetMode="External"/><Relationship Id="rId66" Type="http://schemas.openxmlformats.org/officeDocument/2006/relationships/hyperlink" Target="https://www.meity.gov.in/static/uploads/2025/11/53450e6e5dc0bfa85ebd78686cadad39.pdf" TargetMode="External"/><Relationship Id="rId87" Type="http://schemas.openxmlformats.org/officeDocument/2006/relationships/hyperlink" Target="https://dst.gov.in/national-quantum-mission-nqm" TargetMode="External"/><Relationship Id="rId61" Type="http://schemas.openxmlformats.org/officeDocument/2006/relationships/hyperlink" Target="https://www.education.gov.in/" TargetMode="External"/><Relationship Id="rId82" Type="http://schemas.openxmlformats.org/officeDocument/2006/relationships/hyperlink" Target="https://www.iso.org/" TargetMode="External"/><Relationship Id="rId19" Type="http://schemas.openxmlformats.org/officeDocument/2006/relationships/hyperlink" Target="https://www.nirfindia.org/Home/Documents" TargetMode="External"/><Relationship Id="rId14" Type="http://schemas.openxmlformats.org/officeDocument/2006/relationships/hyperlink" Target="https://www.nbaind.org/Downloads/Documents" TargetMode="External"/><Relationship Id="rId30" Type="http://schemas.openxmlformats.org/officeDocument/2006/relationships/hyperlink" Target="https://www.ugc.gov.in/Guideline" TargetMode="External"/><Relationship Id="rId35" Type="http://schemas.openxmlformats.org/officeDocument/2006/relationships/hyperlink" Target="https://www.ugc.gov.in/Regulations" TargetMode="External"/><Relationship Id="rId56" Type="http://schemas.openxmlformats.org/officeDocument/2006/relationships/hyperlink" Target="https://dgt.gov.in/en/guidelines-grading" TargetMode="External"/><Relationship Id="rId77" Type="http://schemas.openxmlformats.org/officeDocument/2006/relationships/hyperlink" Target="https://nvlpubs.nist.gov/nistpubs/ai/NIST.AI.600-1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gt.gov.in/en/guidelines-grading" TargetMode="External"/><Relationship Id="rId13" Type="http://schemas.openxmlformats.org/officeDocument/2006/relationships/hyperlink" Target="https://www.cert-in.org.in/" TargetMode="External"/><Relationship Id="rId18" Type="http://schemas.openxmlformats.org/officeDocument/2006/relationships/hyperlink" Target="https://dst.gov.in/national-quantum-mission-nqm" TargetMode="External"/><Relationship Id="rId3" Type="http://schemas.openxmlformats.org/officeDocument/2006/relationships/hyperlink" Target="https://assessmentonline.naac.gov.in/" TargetMode="External"/><Relationship Id="rId7" Type="http://schemas.openxmlformats.org/officeDocument/2006/relationships/hyperlink" Target="https://www.aicte-india.org/education/model-curriculum" TargetMode="External"/><Relationship Id="rId12" Type="http://schemas.openxmlformats.org/officeDocument/2006/relationships/hyperlink" Target="https://www.cert-in.org.in/Directions70B.jsp" TargetMode="External"/><Relationship Id="rId17" Type="http://schemas.openxmlformats.org/officeDocument/2006/relationships/hyperlink" Target="https://www.iso.org/artificial-intelligence/ai-management-systems" TargetMode="External"/><Relationship Id="rId2" Type="http://schemas.openxmlformats.org/officeDocument/2006/relationships/hyperlink" Target="https://www.ugc.gov.in/Guideline" TargetMode="External"/><Relationship Id="rId16" Type="http://schemas.openxmlformats.org/officeDocument/2006/relationships/hyperlink" Target="https://www.unesco.org/en/digital-education/g77-competencies" TargetMode="External"/><Relationship Id="rId1" Type="http://schemas.openxmlformats.org/officeDocument/2006/relationships/hyperlink" Target="https://www.ugc.gov.in/Regulations" TargetMode="External"/><Relationship Id="rId6" Type="http://schemas.openxmlformats.org/officeDocument/2006/relationships/hyperlink" Target="https://www.education.gov.in/" TargetMode="External"/><Relationship Id="rId11" Type="http://schemas.openxmlformats.org/officeDocument/2006/relationships/hyperlink" Target="https://www.meity.gov.in/documents/act-and-policies/digital-personal-data-protection-rules-2025-gDOxUjMtQWa?pageTitle=Digital-Personal-Data-Protection-Rules-2025" TargetMode="External"/><Relationship Id="rId5" Type="http://schemas.openxmlformats.org/officeDocument/2006/relationships/hyperlink" Target="https://www.nirfindia.org/Home/Documents" TargetMode="External"/><Relationship Id="rId15" Type="http://schemas.openxmlformats.org/officeDocument/2006/relationships/hyperlink" Target="https://www.nist.gov/itl/ai-risk-management-framework/ai-risk-management-framework-resources" TargetMode="External"/><Relationship Id="rId10" Type="http://schemas.openxmlformats.org/officeDocument/2006/relationships/hyperlink" Target="https://www.abc.gov.in/" TargetMode="External"/><Relationship Id="rId4" Type="http://schemas.openxmlformats.org/officeDocument/2006/relationships/hyperlink" Target="https://www.nbaind.org/Downloads/Documents" TargetMode="External"/><Relationship Id="rId9" Type="http://schemas.openxmlformats.org/officeDocument/2006/relationships/hyperlink" Target="https://ncvet.gov.in/" TargetMode="External"/><Relationship Id="rId14" Type="http://schemas.openxmlformats.org/officeDocument/2006/relationships/hyperlink" Target="https://www.meity.gov.in/ministry/our-groups/details/ai-emerging-technologies-division-QN5EDOtQW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9"/>
  <sheetViews>
    <sheetView showGridLines="0" tabSelected="1" workbookViewId="0"/>
  </sheetViews>
  <sheetFormatPr defaultRowHeight="14.4" x14ac:dyDescent="0.3"/>
  <cols>
    <col min="1" max="1" width="4" customWidth="1"/>
    <col min="2" max="2" width="30" customWidth="1"/>
    <col min="3" max="3" width="100" customWidth="1"/>
  </cols>
  <sheetData>
    <row r="1" spans="2:3" ht="52.2" x14ac:dyDescent="0.3">
      <c r="B1" s="1" t="s">
        <v>0</v>
      </c>
    </row>
    <row r="2" spans="2:3" ht="30" customHeight="1" x14ac:dyDescent="0.3">
      <c r="B2" s="28" t="s">
        <v>1</v>
      </c>
      <c r="C2" s="29"/>
    </row>
    <row r="4" spans="2:3" x14ac:dyDescent="0.3">
      <c r="B4" s="2" t="s">
        <v>2</v>
      </c>
      <c r="C4" s="3"/>
    </row>
    <row r="5" spans="2:3" x14ac:dyDescent="0.3">
      <c r="B5" s="4" t="s">
        <v>3</v>
      </c>
      <c r="C5" s="5" t="s">
        <v>4</v>
      </c>
    </row>
    <row r="6" spans="2:3" x14ac:dyDescent="0.3">
      <c r="B6" s="4" t="s">
        <v>5</v>
      </c>
      <c r="C6" s="5" t="s">
        <v>6</v>
      </c>
    </row>
    <row r="7" spans="2:3" ht="26.4" x14ac:dyDescent="0.3">
      <c r="B7" s="4" t="s">
        <v>7</v>
      </c>
      <c r="C7" s="5" t="s">
        <v>8</v>
      </c>
    </row>
    <row r="8" spans="2:3" x14ac:dyDescent="0.3">
      <c r="B8" s="4" t="s">
        <v>9</v>
      </c>
      <c r="C8" s="5" t="s">
        <v>10</v>
      </c>
    </row>
    <row r="9" spans="2:3" x14ac:dyDescent="0.3">
      <c r="B9" s="4" t="s">
        <v>11</v>
      </c>
      <c r="C9" s="5" t="s">
        <v>12</v>
      </c>
    </row>
    <row r="10" spans="2:3" ht="26.4" x14ac:dyDescent="0.3">
      <c r="B10" s="4" t="s">
        <v>13</v>
      </c>
      <c r="C10" s="5" t="s">
        <v>14</v>
      </c>
    </row>
    <row r="11" spans="2:3" x14ac:dyDescent="0.3">
      <c r="B11" s="4" t="s">
        <v>15</v>
      </c>
      <c r="C11" s="5" t="s">
        <v>16</v>
      </c>
    </row>
    <row r="13" spans="2:3" x14ac:dyDescent="0.3">
      <c r="B13" s="2" t="s">
        <v>17</v>
      </c>
      <c r="C13" s="3"/>
    </row>
    <row r="14" spans="2:3" ht="39.6" x14ac:dyDescent="0.3">
      <c r="B14" s="4" t="s">
        <v>18</v>
      </c>
      <c r="C14" s="5" t="s">
        <v>19</v>
      </c>
    </row>
    <row r="15" spans="2:3" ht="26.4" x14ac:dyDescent="0.3">
      <c r="B15" s="4" t="s">
        <v>20</v>
      </c>
      <c r="C15" s="5" t="s">
        <v>21</v>
      </c>
    </row>
    <row r="16" spans="2:3" ht="26.4" x14ac:dyDescent="0.3">
      <c r="B16" s="4" t="s">
        <v>22</v>
      </c>
      <c r="C16" s="5" t="s">
        <v>23</v>
      </c>
    </row>
    <row r="17" spans="2:3" ht="26.4" x14ac:dyDescent="0.3">
      <c r="B17" s="4" t="s">
        <v>24</v>
      </c>
      <c r="C17" s="5" t="s">
        <v>25</v>
      </c>
    </row>
    <row r="18" spans="2:3" ht="26.4" x14ac:dyDescent="0.3">
      <c r="B18" s="4" t="s">
        <v>26</v>
      </c>
      <c r="C18" s="5" t="s">
        <v>27</v>
      </c>
    </row>
    <row r="19" spans="2:3" ht="26.4" x14ac:dyDescent="0.3">
      <c r="B19" s="4" t="s">
        <v>28</v>
      </c>
      <c r="C19" s="5" t="s">
        <v>29</v>
      </c>
    </row>
    <row r="20" spans="2:3" ht="26.4" x14ac:dyDescent="0.3">
      <c r="B20" s="4" t="s">
        <v>30</v>
      </c>
      <c r="C20" s="5" t="s">
        <v>31</v>
      </c>
    </row>
    <row r="22" spans="2:3" x14ac:dyDescent="0.3">
      <c r="B22" s="2" t="s">
        <v>32</v>
      </c>
      <c r="C22" s="3"/>
    </row>
    <row r="23" spans="2:3" x14ac:dyDescent="0.3">
      <c r="B23" s="4" t="s">
        <v>33</v>
      </c>
      <c r="C23" s="5" t="s">
        <v>34</v>
      </c>
    </row>
    <row r="24" spans="2:3" x14ac:dyDescent="0.3">
      <c r="B24" s="4" t="s">
        <v>35</v>
      </c>
      <c r="C24" s="5" t="s">
        <v>36</v>
      </c>
    </row>
    <row r="25" spans="2:3" x14ac:dyDescent="0.3">
      <c r="B25" s="4" t="s">
        <v>37</v>
      </c>
      <c r="C25" s="5" t="s">
        <v>38</v>
      </c>
    </row>
    <row r="26" spans="2:3" x14ac:dyDescent="0.3">
      <c r="B26" s="4" t="s">
        <v>39</v>
      </c>
      <c r="C26" s="5" t="s">
        <v>40</v>
      </c>
    </row>
    <row r="27" spans="2:3" x14ac:dyDescent="0.3">
      <c r="B27" s="4" t="s">
        <v>41</v>
      </c>
      <c r="C27" s="5" t="s">
        <v>42</v>
      </c>
    </row>
    <row r="28" spans="2:3" x14ac:dyDescent="0.3">
      <c r="B28" s="4" t="s">
        <v>43</v>
      </c>
      <c r="C28" s="5" t="s">
        <v>44</v>
      </c>
    </row>
    <row r="30" spans="2:3" x14ac:dyDescent="0.3">
      <c r="B30" s="2" t="s">
        <v>45</v>
      </c>
      <c r="C30" s="3"/>
    </row>
    <row r="31" spans="2:3" x14ac:dyDescent="0.3">
      <c r="B31" s="4" t="s">
        <v>46</v>
      </c>
      <c r="C31" s="5" t="s">
        <v>47</v>
      </c>
    </row>
    <row r="32" spans="2:3" x14ac:dyDescent="0.3">
      <c r="B32" s="4" t="s">
        <v>48</v>
      </c>
      <c r="C32" s="5" t="s">
        <v>49</v>
      </c>
    </row>
    <row r="33" spans="2:3" x14ac:dyDescent="0.3">
      <c r="B33" s="4" t="s">
        <v>50</v>
      </c>
      <c r="C33" s="5" t="s">
        <v>51</v>
      </c>
    </row>
    <row r="34" spans="2:3" x14ac:dyDescent="0.3">
      <c r="B34" s="4" t="s">
        <v>52</v>
      </c>
      <c r="C34" s="5" t="s">
        <v>53</v>
      </c>
    </row>
    <row r="35" spans="2:3" x14ac:dyDescent="0.3">
      <c r="B35" s="4" t="s">
        <v>54</v>
      </c>
      <c r="C35" s="5" t="s">
        <v>55</v>
      </c>
    </row>
    <row r="36" spans="2:3" x14ac:dyDescent="0.3">
      <c r="B36" s="4" t="s">
        <v>56</v>
      </c>
      <c r="C36" s="5" t="s">
        <v>57</v>
      </c>
    </row>
    <row r="38" spans="2:3" x14ac:dyDescent="0.3">
      <c r="B38" s="2" t="s">
        <v>58</v>
      </c>
      <c r="C38" s="3"/>
    </row>
    <row r="39" spans="2:3" ht="30" customHeight="1" x14ac:dyDescent="0.3">
      <c r="B39" s="28" t="s">
        <v>59</v>
      </c>
      <c r="C39" s="29"/>
    </row>
  </sheetData>
  <mergeCells count="2">
    <mergeCell ref="B39:C39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00"/>
  <sheetViews>
    <sheetView workbookViewId="0">
      <pane xSplit="7" ySplit="4" topLeftCell="H89" activePane="bottomRight" state="frozen"/>
      <selection pane="topRight"/>
      <selection pane="bottomLeft"/>
      <selection pane="bottomRight" activeCell="AG10" sqref="AG10"/>
    </sheetView>
  </sheetViews>
  <sheetFormatPr defaultRowHeight="14.4" x14ac:dyDescent="0.3"/>
  <cols>
    <col min="1" max="1" width="8" customWidth="1"/>
    <col min="2" max="2" width="11" customWidth="1"/>
    <col min="3" max="3" width="26" customWidth="1"/>
    <col min="4" max="5" width="16" customWidth="1"/>
    <col min="6" max="6" width="22" customWidth="1"/>
    <col min="7" max="7" width="15" customWidth="1"/>
    <col min="8" max="8" width="46" customWidth="1"/>
    <col min="9" max="10" width="16" customWidth="1"/>
    <col min="11" max="12" width="12" customWidth="1"/>
    <col min="13" max="14" width="15" customWidth="1"/>
    <col min="15" max="15" width="24" customWidth="1"/>
    <col min="16" max="16" width="18" customWidth="1"/>
    <col min="17" max="18" width="34" customWidth="1"/>
    <col min="19" max="19" width="10" customWidth="1"/>
    <col min="20" max="20" width="17" customWidth="1"/>
    <col min="21" max="21" width="34" customWidth="1"/>
    <col min="22" max="22" width="9" customWidth="1"/>
    <col min="23" max="23" width="7" customWidth="1"/>
    <col min="24" max="24" width="30" customWidth="1"/>
    <col min="25" max="26" width="10" customWidth="1"/>
    <col min="27" max="27" width="14" customWidth="1"/>
    <col min="28" max="28" width="16" customWidth="1"/>
    <col min="29" max="29" width="12" customWidth="1"/>
    <col min="30" max="30" width="40" customWidth="1"/>
    <col min="31" max="31" width="30" customWidth="1"/>
    <col min="32" max="32" width="18" customWidth="1"/>
    <col min="33" max="33" width="12" customWidth="1"/>
    <col min="34" max="34" width="14" customWidth="1"/>
    <col min="35" max="35" width="30" customWidth="1"/>
  </cols>
  <sheetData>
    <row r="1" spans="1:35" ht="17.399999999999999" x14ac:dyDescent="0.3">
      <c r="A1" s="6" t="s">
        <v>60</v>
      </c>
    </row>
    <row r="2" spans="1:35" x14ac:dyDescent="0.3">
      <c r="A2" s="7" t="s">
        <v>61</v>
      </c>
    </row>
    <row r="4" spans="1:35" ht="42" customHeight="1" x14ac:dyDescent="0.3">
      <c r="A4" s="8" t="s">
        <v>62</v>
      </c>
      <c r="B4" s="9" t="s">
        <v>63</v>
      </c>
      <c r="C4" s="9" t="s">
        <v>64</v>
      </c>
      <c r="D4" s="9" t="s">
        <v>65</v>
      </c>
      <c r="E4" s="9" t="s">
        <v>66</v>
      </c>
      <c r="F4" s="9" t="s">
        <v>67</v>
      </c>
      <c r="G4" s="9" t="s">
        <v>68</v>
      </c>
      <c r="H4" s="9" t="s">
        <v>69</v>
      </c>
      <c r="I4" s="9" t="s">
        <v>70</v>
      </c>
      <c r="J4" s="9" t="s">
        <v>71</v>
      </c>
      <c r="K4" s="9" t="s">
        <v>72</v>
      </c>
      <c r="L4" s="9" t="s">
        <v>73</v>
      </c>
      <c r="M4" s="9" t="s">
        <v>74</v>
      </c>
      <c r="N4" s="9" t="s">
        <v>75</v>
      </c>
      <c r="O4" s="9" t="s">
        <v>76</v>
      </c>
      <c r="P4" s="9" t="s">
        <v>77</v>
      </c>
      <c r="Q4" s="9" t="s">
        <v>78</v>
      </c>
      <c r="R4" s="9" t="s">
        <v>79</v>
      </c>
      <c r="S4" s="9" t="s">
        <v>80</v>
      </c>
      <c r="T4" s="9" t="s">
        <v>81</v>
      </c>
      <c r="U4" s="9" t="s">
        <v>82</v>
      </c>
      <c r="V4" s="9" t="s">
        <v>83</v>
      </c>
      <c r="W4" s="9" t="s">
        <v>84</v>
      </c>
      <c r="X4" s="9" t="s">
        <v>85</v>
      </c>
      <c r="Y4" s="9" t="s">
        <v>86</v>
      </c>
      <c r="Z4" s="9" t="s">
        <v>87</v>
      </c>
      <c r="AA4" s="9" t="s">
        <v>88</v>
      </c>
      <c r="AB4" s="9" t="s">
        <v>89</v>
      </c>
      <c r="AC4" s="9" t="s">
        <v>90</v>
      </c>
      <c r="AD4" s="9" t="s">
        <v>91</v>
      </c>
      <c r="AE4" s="8" t="s">
        <v>92</v>
      </c>
      <c r="AF4" s="8" t="s">
        <v>41</v>
      </c>
      <c r="AG4" s="10" t="s">
        <v>93</v>
      </c>
      <c r="AH4" s="10" t="s">
        <v>94</v>
      </c>
      <c r="AI4" s="10" t="s">
        <v>95</v>
      </c>
    </row>
    <row r="5" spans="1:35" ht="26.4" x14ac:dyDescent="0.3">
      <c r="A5" s="11" t="s">
        <v>96</v>
      </c>
      <c r="B5" s="11" t="s">
        <v>97</v>
      </c>
      <c r="C5" s="11" t="s">
        <v>98</v>
      </c>
      <c r="D5" s="11" t="s">
        <v>99</v>
      </c>
      <c r="E5" s="11" t="s">
        <v>100</v>
      </c>
      <c r="F5" s="11" t="s">
        <v>101</v>
      </c>
      <c r="G5" s="11" t="s">
        <v>102</v>
      </c>
      <c r="H5" s="11" t="s">
        <v>103</v>
      </c>
      <c r="I5" s="11" t="s">
        <v>104</v>
      </c>
      <c r="J5" s="11"/>
      <c r="K5" s="12"/>
      <c r="L5" s="12"/>
      <c r="M5" s="11" t="s">
        <v>105</v>
      </c>
      <c r="N5" s="11"/>
      <c r="O5" s="11" t="s">
        <v>106</v>
      </c>
      <c r="P5" s="11"/>
      <c r="Q5" s="11"/>
      <c r="R5" s="11"/>
      <c r="S5" s="11"/>
      <c r="T5" s="11" t="s">
        <v>107</v>
      </c>
      <c r="U5" s="11"/>
      <c r="V5" s="11"/>
      <c r="W5" s="11"/>
      <c r="X5" s="11"/>
      <c r="Y5" s="11" t="s">
        <v>108</v>
      </c>
      <c r="Z5" s="11">
        <v>3</v>
      </c>
      <c r="AA5" s="11" t="s">
        <v>109</v>
      </c>
      <c r="AB5" s="11"/>
      <c r="AC5" s="12"/>
      <c r="AD5" s="11"/>
      <c r="AE5" s="13" t="s">
        <v>110</v>
      </c>
      <c r="AF5" s="11" t="str">
        <f t="shared" ref="AF5:AF68" si="0">IF($H5="","",IF($T5="To find","Not started",IF(($C5="")+($D5="")+($E5="")+($G5="")+($I5="")+($M5="")+($O5="")+($S5="")&gt;0,"Missing basic details",IF(AND($T5="Downloaded",($R5="")+($U5="")+($V5="")+(($W5="")*(RIGHT(LOWER($U5),4)=".pdf"))&gt;0),"Add file details",IF(AND($T5="Downloaded",LEN($X5)&lt;&gt;64),"Check SHA-256",IF(AND($Q5="",$R5=""),"Add a URL",IF($S5="No","Not official - replace",IF($M5="Not verified","Verify status","OK"))))))))</f>
        <v>Not started</v>
      </c>
      <c r="AG5" s="11" t="s">
        <v>111</v>
      </c>
      <c r="AH5" s="11"/>
      <c r="AI5" s="11"/>
    </row>
    <row r="6" spans="1:35" ht="26.4" x14ac:dyDescent="0.3">
      <c r="A6" s="11" t="s">
        <v>112</v>
      </c>
      <c r="B6" s="11" t="s">
        <v>97</v>
      </c>
      <c r="C6" s="11" t="s">
        <v>98</v>
      </c>
      <c r="D6" s="11" t="s">
        <v>99</v>
      </c>
      <c r="E6" s="11" t="s">
        <v>100</v>
      </c>
      <c r="F6" s="11" t="s">
        <v>101</v>
      </c>
      <c r="G6" s="11" t="s">
        <v>113</v>
      </c>
      <c r="H6" s="11" t="s">
        <v>114</v>
      </c>
      <c r="I6" s="11" t="s">
        <v>115</v>
      </c>
      <c r="J6" s="11"/>
      <c r="K6" s="12"/>
      <c r="L6" s="12"/>
      <c r="M6" s="11" t="s">
        <v>105</v>
      </c>
      <c r="N6" s="11"/>
      <c r="O6" s="11" t="s">
        <v>116</v>
      </c>
      <c r="P6" s="11"/>
      <c r="Q6" s="11"/>
      <c r="R6" s="11"/>
      <c r="S6" s="11"/>
      <c r="T6" s="11" t="s">
        <v>107</v>
      </c>
      <c r="U6" s="11"/>
      <c r="V6" s="11"/>
      <c r="W6" s="11"/>
      <c r="X6" s="11"/>
      <c r="Y6" s="11" t="s">
        <v>108</v>
      </c>
      <c r="Z6" s="11">
        <v>1</v>
      </c>
      <c r="AA6" s="11" t="s">
        <v>117</v>
      </c>
      <c r="AB6" s="11"/>
      <c r="AC6" s="12"/>
      <c r="AD6" s="11"/>
      <c r="AE6" s="13" t="s">
        <v>110</v>
      </c>
      <c r="AF6" s="11" t="str">
        <f t="shared" si="0"/>
        <v>Not started</v>
      </c>
      <c r="AG6" s="11" t="s">
        <v>111</v>
      </c>
      <c r="AH6" s="11"/>
      <c r="AI6" s="11"/>
    </row>
    <row r="7" spans="1:35" ht="26.4" x14ac:dyDescent="0.3">
      <c r="A7" s="11" t="s">
        <v>118</v>
      </c>
      <c r="B7" s="11" t="s">
        <v>97</v>
      </c>
      <c r="C7" s="11" t="s">
        <v>98</v>
      </c>
      <c r="D7" s="11" t="s">
        <v>99</v>
      </c>
      <c r="E7" s="11" t="s">
        <v>100</v>
      </c>
      <c r="F7" s="11" t="s">
        <v>101</v>
      </c>
      <c r="G7" s="11" t="s">
        <v>119</v>
      </c>
      <c r="H7" s="11" t="s">
        <v>120</v>
      </c>
      <c r="I7" s="11" t="s">
        <v>115</v>
      </c>
      <c r="J7" s="11"/>
      <c r="K7" s="12"/>
      <c r="L7" s="12"/>
      <c r="M7" s="11" t="s">
        <v>105</v>
      </c>
      <c r="N7" s="11"/>
      <c r="O7" s="11" t="s">
        <v>121</v>
      </c>
      <c r="P7" s="11"/>
      <c r="Q7" s="11"/>
      <c r="R7" s="11"/>
      <c r="S7" s="11"/>
      <c r="T7" s="11" t="s">
        <v>107</v>
      </c>
      <c r="U7" s="11"/>
      <c r="V7" s="11"/>
      <c r="W7" s="11"/>
      <c r="X7" s="11"/>
      <c r="Y7" s="11" t="s">
        <v>108</v>
      </c>
      <c r="Z7" s="11">
        <v>1</v>
      </c>
      <c r="AA7" s="11" t="s">
        <v>117</v>
      </c>
      <c r="AB7" s="11"/>
      <c r="AC7" s="12"/>
      <c r="AD7" s="11"/>
      <c r="AE7" s="13" t="s">
        <v>110</v>
      </c>
      <c r="AF7" s="11" t="str">
        <f t="shared" si="0"/>
        <v>Not started</v>
      </c>
      <c r="AG7" s="11" t="s">
        <v>111</v>
      </c>
      <c r="AH7" s="11"/>
      <c r="AI7" s="11"/>
    </row>
    <row r="8" spans="1:35" ht="26.4" x14ac:dyDescent="0.3">
      <c r="A8" s="11" t="s">
        <v>122</v>
      </c>
      <c r="B8" s="11" t="s">
        <v>97</v>
      </c>
      <c r="C8" s="11" t="s">
        <v>98</v>
      </c>
      <c r="D8" s="11" t="s">
        <v>99</v>
      </c>
      <c r="E8" s="11" t="s">
        <v>100</v>
      </c>
      <c r="F8" s="11" t="s">
        <v>101</v>
      </c>
      <c r="G8" s="11" t="s">
        <v>123</v>
      </c>
      <c r="H8" s="11" t="s">
        <v>124</v>
      </c>
      <c r="I8" s="11" t="s">
        <v>115</v>
      </c>
      <c r="J8" s="11"/>
      <c r="K8" s="12"/>
      <c r="L8" s="12"/>
      <c r="M8" s="11" t="s">
        <v>105</v>
      </c>
      <c r="N8" s="11"/>
      <c r="O8" s="11" t="s">
        <v>125</v>
      </c>
      <c r="P8" s="11"/>
      <c r="Q8" s="11"/>
      <c r="R8" s="11"/>
      <c r="S8" s="11"/>
      <c r="T8" s="11" t="s">
        <v>107</v>
      </c>
      <c r="U8" s="11"/>
      <c r="V8" s="11"/>
      <c r="W8" s="11"/>
      <c r="X8" s="11"/>
      <c r="Y8" s="11" t="s">
        <v>108</v>
      </c>
      <c r="Z8" s="11">
        <v>1</v>
      </c>
      <c r="AA8" s="11" t="s">
        <v>117</v>
      </c>
      <c r="AB8" s="11"/>
      <c r="AC8" s="12"/>
      <c r="AD8" s="11"/>
      <c r="AE8" s="13" t="s">
        <v>110</v>
      </c>
      <c r="AF8" s="11" t="str">
        <f t="shared" si="0"/>
        <v>Not started</v>
      </c>
      <c r="AG8" s="11" t="s">
        <v>111</v>
      </c>
      <c r="AH8" s="11"/>
      <c r="AI8" s="11"/>
    </row>
    <row r="9" spans="1:35" ht="26.4" x14ac:dyDescent="0.3">
      <c r="A9" s="11" t="s">
        <v>126</v>
      </c>
      <c r="B9" s="11" t="s">
        <v>97</v>
      </c>
      <c r="C9" s="11" t="s">
        <v>98</v>
      </c>
      <c r="D9" s="11" t="s">
        <v>99</v>
      </c>
      <c r="E9" s="11" t="s">
        <v>100</v>
      </c>
      <c r="F9" s="11" t="s">
        <v>101</v>
      </c>
      <c r="G9" s="11" t="s">
        <v>127</v>
      </c>
      <c r="H9" s="11" t="s">
        <v>128</v>
      </c>
      <c r="I9" s="11" t="s">
        <v>129</v>
      </c>
      <c r="J9" s="11"/>
      <c r="K9" s="12"/>
      <c r="L9" s="12"/>
      <c r="M9" s="11" t="s">
        <v>105</v>
      </c>
      <c r="N9" s="11"/>
      <c r="O9" s="11"/>
      <c r="P9" s="11"/>
      <c r="Q9" s="11"/>
      <c r="R9" s="11"/>
      <c r="S9" s="11"/>
      <c r="T9" s="11" t="s">
        <v>107</v>
      </c>
      <c r="U9" s="11"/>
      <c r="V9" s="11"/>
      <c r="W9" s="11"/>
      <c r="X9" s="11"/>
      <c r="Y9" s="11" t="s">
        <v>108</v>
      </c>
      <c r="Z9" s="11">
        <v>1</v>
      </c>
      <c r="AA9" s="11" t="s">
        <v>117</v>
      </c>
      <c r="AB9" s="11"/>
      <c r="AC9" s="12"/>
      <c r="AD9" s="11"/>
      <c r="AE9" s="13" t="s">
        <v>110</v>
      </c>
      <c r="AF9" s="11" t="str">
        <f t="shared" si="0"/>
        <v>Not started</v>
      </c>
      <c r="AG9" s="11" t="s">
        <v>111</v>
      </c>
      <c r="AH9" s="11"/>
      <c r="AI9" s="11"/>
    </row>
    <row r="10" spans="1:35" ht="26.4" x14ac:dyDescent="0.3">
      <c r="A10" s="11" t="s">
        <v>130</v>
      </c>
      <c r="B10" s="11" t="s">
        <v>97</v>
      </c>
      <c r="C10" s="11" t="s">
        <v>98</v>
      </c>
      <c r="D10" s="11" t="s">
        <v>99</v>
      </c>
      <c r="E10" s="11" t="s">
        <v>100</v>
      </c>
      <c r="F10" s="11" t="s">
        <v>101</v>
      </c>
      <c r="G10" s="11" t="s">
        <v>131</v>
      </c>
      <c r="H10" s="11" t="s">
        <v>132</v>
      </c>
      <c r="I10" s="11" t="s">
        <v>133</v>
      </c>
      <c r="J10" s="11"/>
      <c r="K10" s="12"/>
      <c r="L10" s="12"/>
      <c r="M10" s="11" t="s">
        <v>105</v>
      </c>
      <c r="N10" s="11"/>
      <c r="O10" s="11"/>
      <c r="P10" s="11"/>
      <c r="Q10" s="11"/>
      <c r="R10" s="11"/>
      <c r="S10" s="11"/>
      <c r="T10" s="11" t="s">
        <v>107</v>
      </c>
      <c r="U10" s="11"/>
      <c r="V10" s="11"/>
      <c r="W10" s="11"/>
      <c r="X10" s="11"/>
      <c r="Y10" s="11" t="s">
        <v>108</v>
      </c>
      <c r="Z10" s="11">
        <v>3</v>
      </c>
      <c r="AA10" s="11" t="s">
        <v>117</v>
      </c>
      <c r="AB10" s="11"/>
      <c r="AC10" s="12"/>
      <c r="AD10" s="11"/>
      <c r="AE10" s="13" t="s">
        <v>110</v>
      </c>
      <c r="AF10" s="11" t="str">
        <f t="shared" si="0"/>
        <v>Not started</v>
      </c>
      <c r="AG10" s="11" t="s">
        <v>111</v>
      </c>
      <c r="AH10" s="11"/>
      <c r="AI10" s="11"/>
    </row>
    <row r="11" spans="1:35" ht="39.6" x14ac:dyDescent="0.3">
      <c r="A11" s="11" t="s">
        <v>134</v>
      </c>
      <c r="B11" s="11" t="s">
        <v>97</v>
      </c>
      <c r="C11" s="11" t="s">
        <v>98</v>
      </c>
      <c r="D11" s="11" t="s">
        <v>135</v>
      </c>
      <c r="E11" s="11" t="s">
        <v>100</v>
      </c>
      <c r="F11" s="11" t="s">
        <v>101</v>
      </c>
      <c r="G11" s="11" t="s">
        <v>136</v>
      </c>
      <c r="H11" s="11" t="s">
        <v>137</v>
      </c>
      <c r="I11" s="11" t="s">
        <v>138</v>
      </c>
      <c r="J11" s="11"/>
      <c r="K11" s="12"/>
      <c r="L11" s="12"/>
      <c r="M11" s="11" t="s">
        <v>105</v>
      </c>
      <c r="N11" s="11"/>
      <c r="O11" s="11" t="s">
        <v>139</v>
      </c>
      <c r="P11" s="11"/>
      <c r="Q11" s="13" t="s">
        <v>140</v>
      </c>
      <c r="R11" s="13" t="s">
        <v>140</v>
      </c>
      <c r="S11" s="11" t="s">
        <v>141</v>
      </c>
      <c r="T11" s="11" t="s">
        <v>142</v>
      </c>
      <c r="U11" s="11" t="s">
        <v>143</v>
      </c>
      <c r="V11" s="11">
        <v>228</v>
      </c>
      <c r="W11" s="11"/>
      <c r="X11" s="11" t="s">
        <v>144</v>
      </c>
      <c r="Y11" s="11" t="s">
        <v>108</v>
      </c>
      <c r="Z11" s="11">
        <v>3</v>
      </c>
      <c r="AA11" s="11" t="s">
        <v>117</v>
      </c>
      <c r="AB11" s="11"/>
      <c r="AC11" s="12"/>
      <c r="AD11" s="11" t="s">
        <v>145</v>
      </c>
      <c r="AE11" s="11"/>
      <c r="AF11" s="11" t="str">
        <f t="shared" si="0"/>
        <v>Verify status</v>
      </c>
      <c r="AG11" s="11" t="s">
        <v>111</v>
      </c>
      <c r="AH11" s="11"/>
      <c r="AI11" s="11"/>
    </row>
    <row r="12" spans="1:35" ht="39.6" x14ac:dyDescent="0.3">
      <c r="A12" s="11" t="s">
        <v>146</v>
      </c>
      <c r="B12" s="11" t="s">
        <v>97</v>
      </c>
      <c r="C12" s="11" t="s">
        <v>98</v>
      </c>
      <c r="D12" s="11" t="s">
        <v>135</v>
      </c>
      <c r="E12" s="11" t="s">
        <v>100</v>
      </c>
      <c r="F12" s="11" t="s">
        <v>101</v>
      </c>
      <c r="G12" s="11" t="s">
        <v>147</v>
      </c>
      <c r="H12" s="11" t="s">
        <v>148</v>
      </c>
      <c r="I12" s="11" t="s">
        <v>104</v>
      </c>
      <c r="J12" s="11"/>
      <c r="K12" s="12"/>
      <c r="L12" s="12"/>
      <c r="M12" s="11" t="s">
        <v>105</v>
      </c>
      <c r="N12" s="11"/>
      <c r="O12" s="11" t="s">
        <v>139</v>
      </c>
      <c r="P12" s="11"/>
      <c r="Q12" s="13" t="s">
        <v>140</v>
      </c>
      <c r="R12" s="13" t="s">
        <v>149</v>
      </c>
      <c r="S12" s="11" t="s">
        <v>141</v>
      </c>
      <c r="T12" s="11" t="s">
        <v>142</v>
      </c>
      <c r="U12" s="11" t="s">
        <v>150</v>
      </c>
      <c r="V12" s="11">
        <v>316</v>
      </c>
      <c r="W12" s="11">
        <v>52</v>
      </c>
      <c r="X12" s="11" t="s">
        <v>151</v>
      </c>
      <c r="Y12" s="11" t="s">
        <v>108</v>
      </c>
      <c r="Z12" s="11">
        <v>3</v>
      </c>
      <c r="AA12" s="11" t="s">
        <v>117</v>
      </c>
      <c r="AB12" s="11"/>
      <c r="AC12" s="12"/>
      <c r="AD12" s="11" t="s">
        <v>152</v>
      </c>
      <c r="AE12" s="11"/>
      <c r="AF12" s="11" t="str">
        <f t="shared" si="0"/>
        <v>Verify status</v>
      </c>
      <c r="AG12" s="11" t="s">
        <v>111</v>
      </c>
      <c r="AH12" s="11"/>
      <c r="AI12" s="11"/>
    </row>
    <row r="13" spans="1:35" ht="39.6" x14ac:dyDescent="0.3">
      <c r="A13" s="11" t="s">
        <v>153</v>
      </c>
      <c r="B13" s="11" t="s">
        <v>97</v>
      </c>
      <c r="C13" s="11" t="s">
        <v>98</v>
      </c>
      <c r="D13" s="11" t="s">
        <v>135</v>
      </c>
      <c r="E13" s="11" t="s">
        <v>100</v>
      </c>
      <c r="F13" s="11" t="s">
        <v>101</v>
      </c>
      <c r="G13" s="11" t="s">
        <v>154</v>
      </c>
      <c r="H13" s="11" t="s">
        <v>155</v>
      </c>
      <c r="I13" s="11" t="s">
        <v>104</v>
      </c>
      <c r="J13" s="11"/>
      <c r="K13" s="12"/>
      <c r="L13" s="12"/>
      <c r="M13" s="11" t="s">
        <v>105</v>
      </c>
      <c r="N13" s="11"/>
      <c r="O13" s="11" t="s">
        <v>156</v>
      </c>
      <c r="P13" s="11"/>
      <c r="Q13" s="13" t="s">
        <v>140</v>
      </c>
      <c r="R13" s="13" t="s">
        <v>157</v>
      </c>
      <c r="S13" s="11" t="s">
        <v>141</v>
      </c>
      <c r="T13" s="11" t="s">
        <v>142</v>
      </c>
      <c r="U13" s="11" t="s">
        <v>158</v>
      </c>
      <c r="V13" s="11">
        <v>4659</v>
      </c>
      <c r="W13" s="11">
        <v>230</v>
      </c>
      <c r="X13" s="11" t="s">
        <v>159</v>
      </c>
      <c r="Y13" s="11" t="s">
        <v>108</v>
      </c>
      <c r="Z13" s="11">
        <v>3</v>
      </c>
      <c r="AA13" s="11" t="s">
        <v>117</v>
      </c>
      <c r="AB13" s="11"/>
      <c r="AC13" s="12"/>
      <c r="AD13" s="11" t="s">
        <v>160</v>
      </c>
      <c r="AE13" s="11"/>
      <c r="AF13" s="11" t="str">
        <f t="shared" si="0"/>
        <v>Verify status</v>
      </c>
      <c r="AG13" s="11" t="s">
        <v>111</v>
      </c>
      <c r="AH13" s="11"/>
      <c r="AI13" s="11"/>
    </row>
    <row r="14" spans="1:35" ht="26.4" x14ac:dyDescent="0.3">
      <c r="A14" s="11" t="s">
        <v>161</v>
      </c>
      <c r="B14" s="11" t="s">
        <v>97</v>
      </c>
      <c r="C14" s="11" t="s">
        <v>98</v>
      </c>
      <c r="D14" s="11" t="s">
        <v>135</v>
      </c>
      <c r="E14" s="11" t="s">
        <v>100</v>
      </c>
      <c r="F14" s="11" t="s">
        <v>101</v>
      </c>
      <c r="G14" s="11" t="s">
        <v>162</v>
      </c>
      <c r="H14" s="11" t="s">
        <v>163</v>
      </c>
      <c r="I14" s="11" t="s">
        <v>115</v>
      </c>
      <c r="J14" s="11"/>
      <c r="K14" s="12"/>
      <c r="L14" s="12"/>
      <c r="M14" s="11" t="s">
        <v>105</v>
      </c>
      <c r="N14" s="11"/>
      <c r="O14" s="11"/>
      <c r="P14" s="11"/>
      <c r="Q14" s="11"/>
      <c r="R14" s="11"/>
      <c r="S14" s="11"/>
      <c r="T14" s="11" t="s">
        <v>107</v>
      </c>
      <c r="U14" s="11"/>
      <c r="V14" s="11"/>
      <c r="W14" s="11"/>
      <c r="X14" s="11"/>
      <c r="Y14" s="11" t="s">
        <v>108</v>
      </c>
      <c r="Z14" s="11">
        <v>3</v>
      </c>
      <c r="AA14" s="11" t="s">
        <v>117</v>
      </c>
      <c r="AB14" s="11"/>
      <c r="AC14" s="12"/>
      <c r="AD14" s="11"/>
      <c r="AE14" s="13" t="s">
        <v>140</v>
      </c>
      <c r="AF14" s="11" t="str">
        <f t="shared" si="0"/>
        <v>Not started</v>
      </c>
      <c r="AG14" s="11" t="s">
        <v>111</v>
      </c>
      <c r="AH14" s="11"/>
      <c r="AI14" s="11"/>
    </row>
    <row r="15" spans="1:35" ht="26.4" x14ac:dyDescent="0.3">
      <c r="A15" s="11" t="s">
        <v>164</v>
      </c>
      <c r="B15" s="11" t="s">
        <v>97</v>
      </c>
      <c r="C15" s="11" t="s">
        <v>98</v>
      </c>
      <c r="D15" s="11" t="s">
        <v>135</v>
      </c>
      <c r="E15" s="11" t="s">
        <v>100</v>
      </c>
      <c r="F15" s="11" t="s">
        <v>101</v>
      </c>
      <c r="G15" s="11" t="s">
        <v>165</v>
      </c>
      <c r="H15" s="11" t="s">
        <v>166</v>
      </c>
      <c r="I15" s="11" t="s">
        <v>115</v>
      </c>
      <c r="J15" s="11"/>
      <c r="K15" s="12"/>
      <c r="L15" s="12"/>
      <c r="M15" s="11" t="s">
        <v>105</v>
      </c>
      <c r="N15" s="11"/>
      <c r="O15" s="11" t="s">
        <v>167</v>
      </c>
      <c r="P15" s="11"/>
      <c r="Q15" s="11"/>
      <c r="R15" s="11"/>
      <c r="S15" s="11"/>
      <c r="T15" s="11" t="s">
        <v>107</v>
      </c>
      <c r="U15" s="11"/>
      <c r="V15" s="11"/>
      <c r="W15" s="11"/>
      <c r="X15" s="11"/>
      <c r="Y15" s="11" t="s">
        <v>108</v>
      </c>
      <c r="Z15" s="11">
        <v>3</v>
      </c>
      <c r="AA15" s="11" t="s">
        <v>117</v>
      </c>
      <c r="AB15" s="11"/>
      <c r="AC15" s="12"/>
      <c r="AD15" s="11"/>
      <c r="AE15" s="13" t="s">
        <v>140</v>
      </c>
      <c r="AF15" s="11" t="str">
        <f t="shared" si="0"/>
        <v>Not started</v>
      </c>
      <c r="AG15" s="11" t="s">
        <v>111</v>
      </c>
      <c r="AH15" s="11"/>
      <c r="AI15" s="11"/>
    </row>
    <row r="16" spans="1:35" ht="26.4" x14ac:dyDescent="0.3">
      <c r="A16" s="11" t="s">
        <v>168</v>
      </c>
      <c r="B16" s="11" t="s">
        <v>97</v>
      </c>
      <c r="C16" s="11" t="s">
        <v>98</v>
      </c>
      <c r="D16" s="11" t="s">
        <v>135</v>
      </c>
      <c r="E16" s="11" t="s">
        <v>100</v>
      </c>
      <c r="F16" s="11" t="s">
        <v>101</v>
      </c>
      <c r="G16" s="11" t="s">
        <v>169</v>
      </c>
      <c r="H16" s="11" t="s">
        <v>170</v>
      </c>
      <c r="I16" s="11" t="s">
        <v>115</v>
      </c>
      <c r="J16" s="11"/>
      <c r="K16" s="12"/>
      <c r="L16" s="12"/>
      <c r="M16" s="11" t="s">
        <v>105</v>
      </c>
      <c r="N16" s="11"/>
      <c r="O16" s="11"/>
      <c r="P16" s="11"/>
      <c r="Q16" s="11"/>
      <c r="R16" s="11"/>
      <c r="S16" s="11"/>
      <c r="T16" s="11" t="s">
        <v>107</v>
      </c>
      <c r="U16" s="11"/>
      <c r="V16" s="11"/>
      <c r="W16" s="11"/>
      <c r="X16" s="11"/>
      <c r="Y16" s="11" t="s">
        <v>108</v>
      </c>
      <c r="Z16" s="11">
        <v>3</v>
      </c>
      <c r="AA16" s="11" t="s">
        <v>117</v>
      </c>
      <c r="AB16" s="11"/>
      <c r="AC16" s="12"/>
      <c r="AD16" s="11"/>
      <c r="AE16" s="13" t="s">
        <v>140</v>
      </c>
      <c r="AF16" s="11" t="str">
        <f t="shared" si="0"/>
        <v>Not started</v>
      </c>
      <c r="AG16" s="11" t="s">
        <v>111</v>
      </c>
      <c r="AH16" s="11"/>
      <c r="AI16" s="11"/>
    </row>
    <row r="17" spans="1:35" ht="26.4" x14ac:dyDescent="0.3">
      <c r="A17" s="11" t="s">
        <v>171</v>
      </c>
      <c r="B17" s="11" t="s">
        <v>97</v>
      </c>
      <c r="C17" s="11" t="s">
        <v>98</v>
      </c>
      <c r="D17" s="11" t="s">
        <v>135</v>
      </c>
      <c r="E17" s="11" t="s">
        <v>100</v>
      </c>
      <c r="F17" s="11" t="s">
        <v>101</v>
      </c>
      <c r="G17" s="11" t="s">
        <v>172</v>
      </c>
      <c r="H17" s="11" t="s">
        <v>173</v>
      </c>
      <c r="I17" s="11" t="s">
        <v>115</v>
      </c>
      <c r="J17" s="11"/>
      <c r="K17" s="12"/>
      <c r="L17" s="12"/>
      <c r="M17" s="11" t="s">
        <v>105</v>
      </c>
      <c r="N17" s="11"/>
      <c r="O17" s="11"/>
      <c r="P17" s="11"/>
      <c r="Q17" s="11"/>
      <c r="R17" s="11"/>
      <c r="S17" s="11"/>
      <c r="T17" s="11" t="s">
        <v>107</v>
      </c>
      <c r="U17" s="11"/>
      <c r="V17" s="11"/>
      <c r="W17" s="11"/>
      <c r="X17" s="11"/>
      <c r="Y17" s="11" t="s">
        <v>108</v>
      </c>
      <c r="Z17" s="11">
        <v>3</v>
      </c>
      <c r="AA17" s="11" t="s">
        <v>117</v>
      </c>
      <c r="AB17" s="11"/>
      <c r="AC17" s="12"/>
      <c r="AD17" s="11"/>
      <c r="AE17" s="13" t="s">
        <v>140</v>
      </c>
      <c r="AF17" s="11" t="str">
        <f t="shared" si="0"/>
        <v>Not started</v>
      </c>
      <c r="AG17" s="11" t="s">
        <v>111</v>
      </c>
      <c r="AH17" s="11"/>
      <c r="AI17" s="11"/>
    </row>
    <row r="18" spans="1:35" ht="26.4" x14ac:dyDescent="0.3">
      <c r="A18" s="11" t="s">
        <v>174</v>
      </c>
      <c r="B18" s="11" t="s">
        <v>97</v>
      </c>
      <c r="C18" s="11" t="s">
        <v>98</v>
      </c>
      <c r="D18" s="11" t="s">
        <v>135</v>
      </c>
      <c r="E18" s="11" t="s">
        <v>100</v>
      </c>
      <c r="F18" s="11" t="s">
        <v>101</v>
      </c>
      <c r="G18" s="11" t="s">
        <v>175</v>
      </c>
      <c r="H18" s="11" t="s">
        <v>176</v>
      </c>
      <c r="I18" s="11" t="s">
        <v>104</v>
      </c>
      <c r="J18" s="11"/>
      <c r="K18" s="12"/>
      <c r="L18" s="12"/>
      <c r="M18" s="11" t="s">
        <v>105</v>
      </c>
      <c r="N18" s="11"/>
      <c r="O18" s="11"/>
      <c r="P18" s="11"/>
      <c r="Q18" s="11"/>
      <c r="R18" s="11"/>
      <c r="S18" s="11"/>
      <c r="T18" s="11" t="s">
        <v>107</v>
      </c>
      <c r="U18" s="11"/>
      <c r="V18" s="11"/>
      <c r="W18" s="11"/>
      <c r="X18" s="11"/>
      <c r="Y18" s="11" t="s">
        <v>108</v>
      </c>
      <c r="Z18" s="11">
        <v>3</v>
      </c>
      <c r="AA18" s="11" t="s">
        <v>117</v>
      </c>
      <c r="AB18" s="11"/>
      <c r="AC18" s="12"/>
      <c r="AD18" s="11" t="s">
        <v>177</v>
      </c>
      <c r="AE18" s="13" t="s">
        <v>140</v>
      </c>
      <c r="AF18" s="11" t="str">
        <f t="shared" si="0"/>
        <v>Not started</v>
      </c>
      <c r="AG18" s="11" t="s">
        <v>111</v>
      </c>
      <c r="AH18" s="11"/>
      <c r="AI18" s="11"/>
    </row>
    <row r="19" spans="1:35" ht="26.4" x14ac:dyDescent="0.3">
      <c r="A19" s="11" t="s">
        <v>178</v>
      </c>
      <c r="B19" s="11" t="s">
        <v>97</v>
      </c>
      <c r="C19" s="11" t="s">
        <v>98</v>
      </c>
      <c r="D19" s="11" t="s">
        <v>135</v>
      </c>
      <c r="E19" s="11" t="s">
        <v>100</v>
      </c>
      <c r="F19" s="11" t="s">
        <v>101</v>
      </c>
      <c r="G19" s="11" t="s">
        <v>179</v>
      </c>
      <c r="H19" s="11" t="s">
        <v>180</v>
      </c>
      <c r="I19" s="11" t="s">
        <v>181</v>
      </c>
      <c r="J19" s="11"/>
      <c r="K19" s="12"/>
      <c r="L19" s="12"/>
      <c r="M19" s="11" t="s">
        <v>105</v>
      </c>
      <c r="N19" s="11"/>
      <c r="O19" s="11"/>
      <c r="P19" s="11"/>
      <c r="Q19" s="11"/>
      <c r="R19" s="11"/>
      <c r="S19" s="11"/>
      <c r="T19" s="11" t="s">
        <v>107</v>
      </c>
      <c r="U19" s="11"/>
      <c r="V19" s="11"/>
      <c r="W19" s="11"/>
      <c r="X19" s="11"/>
      <c r="Y19" s="11" t="s">
        <v>108</v>
      </c>
      <c r="Z19" s="11">
        <v>3</v>
      </c>
      <c r="AA19" s="11" t="s">
        <v>117</v>
      </c>
      <c r="AB19" s="11"/>
      <c r="AC19" s="12"/>
      <c r="AD19" s="11"/>
      <c r="AE19" s="13" t="s">
        <v>140</v>
      </c>
      <c r="AF19" s="11" t="str">
        <f t="shared" si="0"/>
        <v>Not started</v>
      </c>
      <c r="AG19" s="11" t="s">
        <v>111</v>
      </c>
      <c r="AH19" s="11"/>
      <c r="AI19" s="11"/>
    </row>
    <row r="20" spans="1:35" ht="39.6" x14ac:dyDescent="0.3">
      <c r="A20" s="11" t="s">
        <v>182</v>
      </c>
      <c r="B20" s="11" t="s">
        <v>97</v>
      </c>
      <c r="C20" s="11" t="s">
        <v>98</v>
      </c>
      <c r="D20" s="11" t="s">
        <v>183</v>
      </c>
      <c r="E20" s="11" t="s">
        <v>184</v>
      </c>
      <c r="F20" s="11" t="s">
        <v>101</v>
      </c>
      <c r="G20" s="11" t="s">
        <v>185</v>
      </c>
      <c r="H20" s="11" t="s">
        <v>186</v>
      </c>
      <c r="I20" s="11" t="s">
        <v>138</v>
      </c>
      <c r="J20" s="11"/>
      <c r="K20" s="12"/>
      <c r="L20" s="12"/>
      <c r="M20" s="11" t="s">
        <v>105</v>
      </c>
      <c r="N20" s="11"/>
      <c r="O20" s="11" t="s">
        <v>187</v>
      </c>
      <c r="P20" s="11"/>
      <c r="Q20" s="13" t="s">
        <v>188</v>
      </c>
      <c r="R20" s="13" t="s">
        <v>188</v>
      </c>
      <c r="S20" s="11" t="s">
        <v>141</v>
      </c>
      <c r="T20" s="11" t="s">
        <v>142</v>
      </c>
      <c r="U20" s="11" t="s">
        <v>189</v>
      </c>
      <c r="V20" s="11">
        <v>24</v>
      </c>
      <c r="W20" s="11"/>
      <c r="X20" s="11" t="s">
        <v>190</v>
      </c>
      <c r="Y20" s="11" t="s">
        <v>108</v>
      </c>
      <c r="Z20" s="11">
        <v>12</v>
      </c>
      <c r="AA20" s="11" t="s">
        <v>117</v>
      </c>
      <c r="AB20" s="11"/>
      <c r="AC20" s="12"/>
      <c r="AD20" s="11" t="s">
        <v>191</v>
      </c>
      <c r="AE20" s="11"/>
      <c r="AF20" s="11" t="str">
        <f t="shared" si="0"/>
        <v>Verify status</v>
      </c>
      <c r="AG20" s="11" t="s">
        <v>111</v>
      </c>
      <c r="AH20" s="11"/>
      <c r="AI20" s="11"/>
    </row>
    <row r="21" spans="1:35" ht="26.4" x14ac:dyDescent="0.3">
      <c r="A21" s="11" t="s">
        <v>192</v>
      </c>
      <c r="B21" s="11" t="s">
        <v>97</v>
      </c>
      <c r="C21" s="11" t="s">
        <v>98</v>
      </c>
      <c r="D21" s="11" t="s">
        <v>183</v>
      </c>
      <c r="E21" s="11" t="s">
        <v>184</v>
      </c>
      <c r="F21" s="11" t="s">
        <v>101</v>
      </c>
      <c r="G21" s="11" t="s">
        <v>193</v>
      </c>
      <c r="H21" s="11" t="s">
        <v>194</v>
      </c>
      <c r="I21" s="11" t="s">
        <v>195</v>
      </c>
      <c r="J21" s="11"/>
      <c r="K21" s="12"/>
      <c r="L21" s="12"/>
      <c r="M21" s="11" t="s">
        <v>105</v>
      </c>
      <c r="N21" s="11"/>
      <c r="O21" s="11" t="s">
        <v>187</v>
      </c>
      <c r="P21" s="11"/>
      <c r="Q21" s="11"/>
      <c r="R21" s="11"/>
      <c r="S21" s="11"/>
      <c r="T21" s="11" t="s">
        <v>107</v>
      </c>
      <c r="U21" s="11"/>
      <c r="V21" s="11"/>
      <c r="W21" s="11"/>
      <c r="X21" s="11"/>
      <c r="Y21" s="11" t="s">
        <v>108</v>
      </c>
      <c r="Z21" s="11">
        <v>12</v>
      </c>
      <c r="AA21" s="11" t="s">
        <v>117</v>
      </c>
      <c r="AB21" s="11"/>
      <c r="AC21" s="12"/>
      <c r="AD21" s="11" t="s">
        <v>196</v>
      </c>
      <c r="AE21" s="13" t="s">
        <v>188</v>
      </c>
      <c r="AF21" s="11" t="str">
        <f t="shared" si="0"/>
        <v>Not started</v>
      </c>
      <c r="AG21" s="11" t="s">
        <v>111</v>
      </c>
      <c r="AH21" s="11"/>
      <c r="AI21" s="11"/>
    </row>
    <row r="22" spans="1:35" ht="26.4" x14ac:dyDescent="0.3">
      <c r="A22" s="11" t="s">
        <v>197</v>
      </c>
      <c r="B22" s="11" t="s">
        <v>97</v>
      </c>
      <c r="C22" s="11" t="s">
        <v>98</v>
      </c>
      <c r="D22" s="11" t="s">
        <v>183</v>
      </c>
      <c r="E22" s="11" t="s">
        <v>184</v>
      </c>
      <c r="F22" s="11" t="s">
        <v>101</v>
      </c>
      <c r="G22" s="11" t="s">
        <v>198</v>
      </c>
      <c r="H22" s="11" t="s">
        <v>199</v>
      </c>
      <c r="I22" s="11" t="s">
        <v>104</v>
      </c>
      <c r="J22" s="11"/>
      <c r="K22" s="12"/>
      <c r="L22" s="12"/>
      <c r="M22" s="11" t="s">
        <v>105</v>
      </c>
      <c r="N22" s="11"/>
      <c r="O22" s="11" t="s">
        <v>187</v>
      </c>
      <c r="P22" s="11"/>
      <c r="Q22" s="11"/>
      <c r="R22" s="11"/>
      <c r="S22" s="11"/>
      <c r="T22" s="11" t="s">
        <v>107</v>
      </c>
      <c r="U22" s="11"/>
      <c r="V22" s="11"/>
      <c r="W22" s="11"/>
      <c r="X22" s="11"/>
      <c r="Y22" s="11" t="s">
        <v>108</v>
      </c>
      <c r="Z22" s="11">
        <v>12</v>
      </c>
      <c r="AA22" s="11" t="s">
        <v>117</v>
      </c>
      <c r="AB22" s="11"/>
      <c r="AC22" s="12"/>
      <c r="AD22" s="11"/>
      <c r="AE22" s="13" t="s">
        <v>188</v>
      </c>
      <c r="AF22" s="11" t="str">
        <f t="shared" si="0"/>
        <v>Not started</v>
      </c>
      <c r="AG22" s="11" t="s">
        <v>111</v>
      </c>
      <c r="AH22" s="11"/>
      <c r="AI22" s="11"/>
    </row>
    <row r="23" spans="1:35" ht="39.6" x14ac:dyDescent="0.3">
      <c r="A23" s="11" t="s">
        <v>200</v>
      </c>
      <c r="B23" s="11" t="s">
        <v>97</v>
      </c>
      <c r="C23" s="11" t="s">
        <v>201</v>
      </c>
      <c r="D23" s="11" t="s">
        <v>202</v>
      </c>
      <c r="E23" s="11" t="s">
        <v>203</v>
      </c>
      <c r="F23" s="11" t="s">
        <v>204</v>
      </c>
      <c r="G23" s="11" t="s">
        <v>205</v>
      </c>
      <c r="H23" s="11" t="s">
        <v>206</v>
      </c>
      <c r="I23" s="11" t="s">
        <v>138</v>
      </c>
      <c r="J23" s="11"/>
      <c r="K23" s="12"/>
      <c r="L23" s="12"/>
      <c r="M23" s="11" t="s">
        <v>105</v>
      </c>
      <c r="N23" s="11"/>
      <c r="O23" s="11" t="s">
        <v>207</v>
      </c>
      <c r="P23" s="11"/>
      <c r="Q23" s="13" t="s">
        <v>208</v>
      </c>
      <c r="R23" s="13" t="s">
        <v>208</v>
      </c>
      <c r="S23" s="11" t="s">
        <v>141</v>
      </c>
      <c r="T23" s="11" t="s">
        <v>142</v>
      </c>
      <c r="U23" s="11" t="s">
        <v>209</v>
      </c>
      <c r="V23" s="11">
        <v>137</v>
      </c>
      <c r="W23" s="11"/>
      <c r="X23" s="11" t="s">
        <v>210</v>
      </c>
      <c r="Y23" s="11" t="s">
        <v>108</v>
      </c>
      <c r="Z23" s="11">
        <v>1</v>
      </c>
      <c r="AA23" s="11" t="s">
        <v>117</v>
      </c>
      <c r="AB23" s="11"/>
      <c r="AC23" s="12"/>
      <c r="AD23" s="11" t="s">
        <v>211</v>
      </c>
      <c r="AE23" s="11"/>
      <c r="AF23" s="11" t="str">
        <f t="shared" si="0"/>
        <v>Verify status</v>
      </c>
      <c r="AG23" s="11" t="s">
        <v>111</v>
      </c>
      <c r="AH23" s="11"/>
      <c r="AI23" s="11"/>
    </row>
    <row r="24" spans="1:35" ht="39.6" x14ac:dyDescent="0.3">
      <c r="A24" s="11" t="s">
        <v>212</v>
      </c>
      <c r="B24" s="11" t="s">
        <v>97</v>
      </c>
      <c r="C24" s="11" t="s">
        <v>201</v>
      </c>
      <c r="D24" s="11" t="s">
        <v>202</v>
      </c>
      <c r="E24" s="11" t="s">
        <v>203</v>
      </c>
      <c r="F24" s="11" t="s">
        <v>213</v>
      </c>
      <c r="G24" s="11" t="s">
        <v>214</v>
      </c>
      <c r="H24" s="11" t="s">
        <v>215</v>
      </c>
      <c r="I24" s="11" t="s">
        <v>138</v>
      </c>
      <c r="J24" s="11"/>
      <c r="K24" s="12"/>
      <c r="L24" s="12"/>
      <c r="M24" s="11" t="s">
        <v>105</v>
      </c>
      <c r="N24" s="11"/>
      <c r="O24" s="11" t="s">
        <v>207</v>
      </c>
      <c r="P24" s="11"/>
      <c r="Q24" s="13" t="s">
        <v>216</v>
      </c>
      <c r="R24" s="13" t="s">
        <v>216</v>
      </c>
      <c r="S24" s="11" t="s">
        <v>141</v>
      </c>
      <c r="T24" s="11" t="s">
        <v>142</v>
      </c>
      <c r="U24" s="11" t="s">
        <v>217</v>
      </c>
      <c r="V24" s="11">
        <v>98</v>
      </c>
      <c r="W24" s="11"/>
      <c r="X24" s="11" t="s">
        <v>218</v>
      </c>
      <c r="Y24" s="11" t="s">
        <v>108</v>
      </c>
      <c r="Z24" s="11">
        <v>1</v>
      </c>
      <c r="AA24" s="11" t="s">
        <v>117</v>
      </c>
      <c r="AB24" s="11"/>
      <c r="AC24" s="12"/>
      <c r="AD24" s="11" t="s">
        <v>219</v>
      </c>
      <c r="AE24" s="11"/>
      <c r="AF24" s="11" t="str">
        <f t="shared" si="0"/>
        <v>Verify status</v>
      </c>
      <c r="AG24" s="11" t="s">
        <v>111</v>
      </c>
      <c r="AH24" s="11"/>
      <c r="AI24" s="11"/>
    </row>
    <row r="25" spans="1:35" ht="26.4" x14ac:dyDescent="0.3">
      <c r="A25" s="11" t="s">
        <v>220</v>
      </c>
      <c r="B25" s="11" t="s">
        <v>97</v>
      </c>
      <c r="C25" s="11" t="s">
        <v>201</v>
      </c>
      <c r="D25" s="11" t="s">
        <v>202</v>
      </c>
      <c r="E25" s="11" t="s">
        <v>203</v>
      </c>
      <c r="F25" s="11" t="s">
        <v>204</v>
      </c>
      <c r="G25" s="11" t="s">
        <v>221</v>
      </c>
      <c r="H25" s="11" t="s">
        <v>222</v>
      </c>
      <c r="I25" s="11" t="s">
        <v>223</v>
      </c>
      <c r="J25" s="11"/>
      <c r="K25" s="12"/>
      <c r="L25" s="12"/>
      <c r="M25" s="11" t="s">
        <v>105</v>
      </c>
      <c r="N25" s="11"/>
      <c r="O25" s="11" t="s">
        <v>224</v>
      </c>
      <c r="P25" s="11"/>
      <c r="Q25" s="11"/>
      <c r="R25" s="11"/>
      <c r="S25" s="11"/>
      <c r="T25" s="11" t="s">
        <v>107</v>
      </c>
      <c r="U25" s="11"/>
      <c r="V25" s="11"/>
      <c r="W25" s="11"/>
      <c r="X25" s="11"/>
      <c r="Y25" s="11" t="s">
        <v>108</v>
      </c>
      <c r="Z25" s="11">
        <v>3</v>
      </c>
      <c r="AA25" s="11" t="s">
        <v>117</v>
      </c>
      <c r="AB25" s="11"/>
      <c r="AC25" s="12"/>
      <c r="AD25" s="11"/>
      <c r="AE25" s="13" t="s">
        <v>208</v>
      </c>
      <c r="AF25" s="11" t="str">
        <f t="shared" si="0"/>
        <v>Not started</v>
      </c>
      <c r="AG25" s="11" t="s">
        <v>111</v>
      </c>
      <c r="AH25" s="11"/>
      <c r="AI25" s="11"/>
    </row>
    <row r="26" spans="1:35" ht="26.4" x14ac:dyDescent="0.3">
      <c r="A26" s="11" t="s">
        <v>225</v>
      </c>
      <c r="B26" s="11" t="s">
        <v>97</v>
      </c>
      <c r="C26" s="11" t="s">
        <v>201</v>
      </c>
      <c r="D26" s="11" t="s">
        <v>202</v>
      </c>
      <c r="E26" s="11" t="s">
        <v>203</v>
      </c>
      <c r="F26" s="11" t="s">
        <v>204</v>
      </c>
      <c r="G26" s="11" t="s">
        <v>226</v>
      </c>
      <c r="H26" s="11" t="s">
        <v>227</v>
      </c>
      <c r="I26" s="11" t="s">
        <v>223</v>
      </c>
      <c r="J26" s="11"/>
      <c r="K26" s="12"/>
      <c r="L26" s="12"/>
      <c r="M26" s="11" t="s">
        <v>105</v>
      </c>
      <c r="N26" s="11"/>
      <c r="O26" s="11" t="s">
        <v>224</v>
      </c>
      <c r="P26" s="11"/>
      <c r="Q26" s="11"/>
      <c r="R26" s="11"/>
      <c r="S26" s="11"/>
      <c r="T26" s="11" t="s">
        <v>107</v>
      </c>
      <c r="U26" s="11"/>
      <c r="V26" s="11"/>
      <c r="W26" s="11"/>
      <c r="X26" s="11"/>
      <c r="Y26" s="11" t="s">
        <v>108</v>
      </c>
      <c r="Z26" s="11">
        <v>3</v>
      </c>
      <c r="AA26" s="11" t="s">
        <v>117</v>
      </c>
      <c r="AB26" s="11"/>
      <c r="AC26" s="12"/>
      <c r="AD26" s="11" t="s">
        <v>228</v>
      </c>
      <c r="AE26" s="13" t="s">
        <v>208</v>
      </c>
      <c r="AF26" s="11" t="str">
        <f t="shared" si="0"/>
        <v>Not started</v>
      </c>
      <c r="AG26" s="11" t="s">
        <v>111</v>
      </c>
      <c r="AH26" s="11"/>
      <c r="AI26" s="11"/>
    </row>
    <row r="27" spans="1:35" ht="26.4" x14ac:dyDescent="0.3">
      <c r="A27" s="11" t="s">
        <v>229</v>
      </c>
      <c r="B27" s="11" t="s">
        <v>97</v>
      </c>
      <c r="C27" s="11" t="s">
        <v>201</v>
      </c>
      <c r="D27" s="11" t="s">
        <v>202</v>
      </c>
      <c r="E27" s="11" t="s">
        <v>203</v>
      </c>
      <c r="F27" s="11" t="s">
        <v>204</v>
      </c>
      <c r="G27" s="11" t="s">
        <v>230</v>
      </c>
      <c r="H27" s="11" t="s">
        <v>231</v>
      </c>
      <c r="I27" s="11" t="s">
        <v>223</v>
      </c>
      <c r="J27" s="11"/>
      <c r="K27" s="12"/>
      <c r="L27" s="12"/>
      <c r="M27" s="11" t="s">
        <v>105</v>
      </c>
      <c r="N27" s="11"/>
      <c r="O27" s="11" t="s">
        <v>207</v>
      </c>
      <c r="P27" s="11"/>
      <c r="Q27" s="11"/>
      <c r="R27" s="11"/>
      <c r="S27" s="11"/>
      <c r="T27" s="11" t="s">
        <v>107</v>
      </c>
      <c r="U27" s="11"/>
      <c r="V27" s="11"/>
      <c r="W27" s="11"/>
      <c r="X27" s="11"/>
      <c r="Y27" s="11" t="s">
        <v>108</v>
      </c>
      <c r="Z27" s="11">
        <v>3</v>
      </c>
      <c r="AA27" s="11" t="s">
        <v>117</v>
      </c>
      <c r="AB27" s="11"/>
      <c r="AC27" s="12"/>
      <c r="AD27" s="11"/>
      <c r="AE27" s="13" t="s">
        <v>208</v>
      </c>
      <c r="AF27" s="11" t="str">
        <f t="shared" si="0"/>
        <v>Not started</v>
      </c>
      <c r="AG27" s="11" t="s">
        <v>111</v>
      </c>
      <c r="AH27" s="11"/>
      <c r="AI27" s="11"/>
    </row>
    <row r="28" spans="1:35" ht="26.4" x14ac:dyDescent="0.3">
      <c r="A28" s="11" t="s">
        <v>232</v>
      </c>
      <c r="B28" s="11" t="s">
        <v>97</v>
      </c>
      <c r="C28" s="11" t="s">
        <v>201</v>
      </c>
      <c r="D28" s="11" t="s">
        <v>202</v>
      </c>
      <c r="E28" s="11" t="s">
        <v>203</v>
      </c>
      <c r="F28" s="11" t="s">
        <v>213</v>
      </c>
      <c r="G28" s="11" t="s">
        <v>233</v>
      </c>
      <c r="H28" s="11" t="s">
        <v>234</v>
      </c>
      <c r="I28" s="11" t="s">
        <v>181</v>
      </c>
      <c r="J28" s="11"/>
      <c r="K28" s="12"/>
      <c r="L28" s="12"/>
      <c r="M28" s="11" t="s">
        <v>105</v>
      </c>
      <c r="N28" s="11"/>
      <c r="O28" s="11" t="s">
        <v>207</v>
      </c>
      <c r="P28" s="11"/>
      <c r="Q28" s="11"/>
      <c r="R28" s="11"/>
      <c r="S28" s="11"/>
      <c r="T28" s="11" t="s">
        <v>107</v>
      </c>
      <c r="U28" s="11"/>
      <c r="V28" s="11"/>
      <c r="W28" s="11"/>
      <c r="X28" s="11"/>
      <c r="Y28" s="11" t="s">
        <v>108</v>
      </c>
      <c r="Z28" s="11">
        <v>12</v>
      </c>
      <c r="AA28" s="11" t="s">
        <v>117</v>
      </c>
      <c r="AB28" s="11"/>
      <c r="AC28" s="12"/>
      <c r="AD28" s="11"/>
      <c r="AE28" s="13" t="s">
        <v>216</v>
      </c>
      <c r="AF28" s="11" t="str">
        <f t="shared" si="0"/>
        <v>Not started</v>
      </c>
      <c r="AG28" s="11" t="s">
        <v>111</v>
      </c>
      <c r="AH28" s="11"/>
      <c r="AI28" s="11"/>
    </row>
    <row r="29" spans="1:35" ht="26.4" x14ac:dyDescent="0.3">
      <c r="A29" s="11" t="s">
        <v>235</v>
      </c>
      <c r="B29" s="11" t="s">
        <v>97</v>
      </c>
      <c r="C29" s="11" t="s">
        <v>236</v>
      </c>
      <c r="D29" s="11" t="s">
        <v>202</v>
      </c>
      <c r="E29" s="11" t="s">
        <v>203</v>
      </c>
      <c r="F29" s="11" t="s">
        <v>213</v>
      </c>
      <c r="G29" s="11" t="s">
        <v>237</v>
      </c>
      <c r="H29" s="11" t="s">
        <v>238</v>
      </c>
      <c r="I29" s="11" t="s">
        <v>181</v>
      </c>
      <c r="J29" s="11"/>
      <c r="K29" s="12"/>
      <c r="L29" s="12"/>
      <c r="M29" s="11" t="s">
        <v>105</v>
      </c>
      <c r="N29" s="11"/>
      <c r="O29" s="11" t="s">
        <v>207</v>
      </c>
      <c r="P29" s="11"/>
      <c r="Q29" s="11"/>
      <c r="R29" s="11"/>
      <c r="S29" s="11"/>
      <c r="T29" s="11" t="s">
        <v>107</v>
      </c>
      <c r="U29" s="11"/>
      <c r="V29" s="11"/>
      <c r="W29" s="11"/>
      <c r="X29" s="11"/>
      <c r="Y29" s="11" t="s">
        <v>108</v>
      </c>
      <c r="Z29" s="11">
        <v>12</v>
      </c>
      <c r="AA29" s="11" t="s">
        <v>117</v>
      </c>
      <c r="AB29" s="11"/>
      <c r="AC29" s="12"/>
      <c r="AD29" s="11"/>
      <c r="AE29" s="13" t="s">
        <v>216</v>
      </c>
      <c r="AF29" s="11" t="str">
        <f t="shared" si="0"/>
        <v>Not started</v>
      </c>
      <c r="AG29" s="11" t="s">
        <v>111</v>
      </c>
      <c r="AH29" s="11"/>
      <c r="AI29" s="11"/>
    </row>
    <row r="30" spans="1:35" ht="26.4" x14ac:dyDescent="0.3">
      <c r="A30" s="11" t="s">
        <v>239</v>
      </c>
      <c r="B30" s="11" t="s">
        <v>97</v>
      </c>
      <c r="C30" s="11" t="s">
        <v>240</v>
      </c>
      <c r="D30" s="11" t="s">
        <v>202</v>
      </c>
      <c r="E30" s="11" t="s">
        <v>203</v>
      </c>
      <c r="F30" s="11" t="s">
        <v>213</v>
      </c>
      <c r="G30" s="11" t="s">
        <v>241</v>
      </c>
      <c r="H30" s="11" t="s">
        <v>242</v>
      </c>
      <c r="I30" s="11" t="s">
        <v>181</v>
      </c>
      <c r="J30" s="11"/>
      <c r="K30" s="12"/>
      <c r="L30" s="12"/>
      <c r="M30" s="11" t="s">
        <v>105</v>
      </c>
      <c r="N30" s="11"/>
      <c r="O30" s="11" t="s">
        <v>207</v>
      </c>
      <c r="P30" s="11"/>
      <c r="Q30" s="11"/>
      <c r="R30" s="11"/>
      <c r="S30" s="11"/>
      <c r="T30" s="11" t="s">
        <v>107</v>
      </c>
      <c r="U30" s="11"/>
      <c r="V30" s="11"/>
      <c r="W30" s="11"/>
      <c r="X30" s="11"/>
      <c r="Y30" s="11" t="s">
        <v>108</v>
      </c>
      <c r="Z30" s="11">
        <v>12</v>
      </c>
      <c r="AA30" s="11" t="s">
        <v>117</v>
      </c>
      <c r="AB30" s="11"/>
      <c r="AC30" s="12"/>
      <c r="AD30" s="11"/>
      <c r="AE30" s="13" t="s">
        <v>216</v>
      </c>
      <c r="AF30" s="11" t="str">
        <f t="shared" si="0"/>
        <v>Not started</v>
      </c>
      <c r="AG30" s="11" t="s">
        <v>111</v>
      </c>
      <c r="AH30" s="11"/>
      <c r="AI30" s="11"/>
    </row>
    <row r="31" spans="1:35" ht="26.4" x14ac:dyDescent="0.3">
      <c r="A31" s="11" t="s">
        <v>243</v>
      </c>
      <c r="B31" s="11" t="s">
        <v>97</v>
      </c>
      <c r="C31" s="11" t="s">
        <v>240</v>
      </c>
      <c r="D31" s="11" t="s">
        <v>202</v>
      </c>
      <c r="E31" s="11" t="s">
        <v>203</v>
      </c>
      <c r="F31" s="11" t="s">
        <v>213</v>
      </c>
      <c r="G31" s="11" t="s">
        <v>244</v>
      </c>
      <c r="H31" s="11" t="s">
        <v>245</v>
      </c>
      <c r="I31" s="11" t="s">
        <v>181</v>
      </c>
      <c r="J31" s="11"/>
      <c r="K31" s="12"/>
      <c r="L31" s="12"/>
      <c r="M31" s="11" t="s">
        <v>105</v>
      </c>
      <c r="N31" s="11"/>
      <c r="O31" s="11" t="s">
        <v>207</v>
      </c>
      <c r="P31" s="11"/>
      <c r="Q31" s="11"/>
      <c r="R31" s="11"/>
      <c r="S31" s="11"/>
      <c r="T31" s="11" t="s">
        <v>107</v>
      </c>
      <c r="U31" s="11"/>
      <c r="V31" s="11"/>
      <c r="W31" s="11"/>
      <c r="X31" s="11"/>
      <c r="Y31" s="11" t="s">
        <v>108</v>
      </c>
      <c r="Z31" s="11">
        <v>12</v>
      </c>
      <c r="AA31" s="11" t="s">
        <v>117</v>
      </c>
      <c r="AB31" s="11"/>
      <c r="AC31" s="12"/>
      <c r="AD31" s="11"/>
      <c r="AE31" s="13" t="s">
        <v>216</v>
      </c>
      <c r="AF31" s="11" t="str">
        <f t="shared" si="0"/>
        <v>Not started</v>
      </c>
      <c r="AG31" s="11" t="s">
        <v>111</v>
      </c>
      <c r="AH31" s="11"/>
      <c r="AI31" s="11"/>
    </row>
    <row r="32" spans="1:35" ht="26.4" x14ac:dyDescent="0.3">
      <c r="A32" s="11" t="s">
        <v>246</v>
      </c>
      <c r="B32" s="11" t="s">
        <v>97</v>
      </c>
      <c r="C32" s="11" t="s">
        <v>201</v>
      </c>
      <c r="D32" s="11" t="s">
        <v>202</v>
      </c>
      <c r="E32" s="11" t="s">
        <v>203</v>
      </c>
      <c r="F32" s="11" t="s">
        <v>204</v>
      </c>
      <c r="G32" s="11" t="s">
        <v>247</v>
      </c>
      <c r="H32" s="11" t="s">
        <v>248</v>
      </c>
      <c r="I32" s="11" t="s">
        <v>223</v>
      </c>
      <c r="J32" s="11"/>
      <c r="K32" s="12"/>
      <c r="L32" s="12"/>
      <c r="M32" s="11" t="s">
        <v>105</v>
      </c>
      <c r="N32" s="11"/>
      <c r="O32" s="11" t="s">
        <v>187</v>
      </c>
      <c r="P32" s="11"/>
      <c r="Q32" s="11"/>
      <c r="R32" s="11"/>
      <c r="S32" s="11"/>
      <c r="T32" s="11" t="s">
        <v>107</v>
      </c>
      <c r="U32" s="11"/>
      <c r="V32" s="11"/>
      <c r="W32" s="11"/>
      <c r="X32" s="11"/>
      <c r="Y32" s="11" t="s">
        <v>108</v>
      </c>
      <c r="Z32" s="11">
        <v>3</v>
      </c>
      <c r="AA32" s="11" t="s">
        <v>117</v>
      </c>
      <c r="AB32" s="11"/>
      <c r="AC32" s="12"/>
      <c r="AD32" s="11"/>
      <c r="AE32" s="13" t="s">
        <v>208</v>
      </c>
      <c r="AF32" s="11" t="str">
        <f t="shared" si="0"/>
        <v>Not started</v>
      </c>
      <c r="AG32" s="11" t="s">
        <v>111</v>
      </c>
      <c r="AH32" s="11"/>
      <c r="AI32" s="11"/>
    </row>
    <row r="33" spans="1:35" ht="26.4" x14ac:dyDescent="0.3">
      <c r="A33" s="11" t="s">
        <v>249</v>
      </c>
      <c r="B33" s="11" t="s">
        <v>97</v>
      </c>
      <c r="C33" s="11" t="s">
        <v>201</v>
      </c>
      <c r="D33" s="11" t="s">
        <v>202</v>
      </c>
      <c r="E33" s="11" t="s">
        <v>203</v>
      </c>
      <c r="F33" s="11" t="s">
        <v>204</v>
      </c>
      <c r="G33" s="11" t="s">
        <v>250</v>
      </c>
      <c r="H33" s="11" t="s">
        <v>251</v>
      </c>
      <c r="I33" s="11" t="s">
        <v>223</v>
      </c>
      <c r="J33" s="11"/>
      <c r="K33" s="12"/>
      <c r="L33" s="12"/>
      <c r="M33" s="11" t="s">
        <v>105</v>
      </c>
      <c r="N33" s="11"/>
      <c r="O33" s="11"/>
      <c r="P33" s="11"/>
      <c r="Q33" s="11"/>
      <c r="R33" s="11"/>
      <c r="S33" s="11"/>
      <c r="T33" s="11" t="s">
        <v>107</v>
      </c>
      <c r="U33" s="11"/>
      <c r="V33" s="11"/>
      <c r="W33" s="11"/>
      <c r="X33" s="11"/>
      <c r="Y33" s="11" t="s">
        <v>108</v>
      </c>
      <c r="Z33" s="11">
        <v>3</v>
      </c>
      <c r="AA33" s="11" t="s">
        <v>117</v>
      </c>
      <c r="AB33" s="11"/>
      <c r="AC33" s="12"/>
      <c r="AD33" s="11"/>
      <c r="AE33" s="13" t="s">
        <v>208</v>
      </c>
      <c r="AF33" s="11" t="str">
        <f t="shared" si="0"/>
        <v>Not started</v>
      </c>
      <c r="AG33" s="11" t="s">
        <v>111</v>
      </c>
      <c r="AH33" s="11"/>
      <c r="AI33" s="11"/>
    </row>
    <row r="34" spans="1:35" ht="26.4" x14ac:dyDescent="0.3">
      <c r="A34" s="11" t="s">
        <v>252</v>
      </c>
      <c r="B34" s="11" t="s">
        <v>97</v>
      </c>
      <c r="C34" s="11" t="s">
        <v>201</v>
      </c>
      <c r="D34" s="11" t="s">
        <v>202</v>
      </c>
      <c r="E34" s="11" t="s">
        <v>203</v>
      </c>
      <c r="F34" s="11" t="s">
        <v>204</v>
      </c>
      <c r="G34" s="11" t="s">
        <v>253</v>
      </c>
      <c r="H34" s="11" t="s">
        <v>254</v>
      </c>
      <c r="I34" s="11" t="s">
        <v>223</v>
      </c>
      <c r="J34" s="11"/>
      <c r="K34" s="12"/>
      <c r="L34" s="12"/>
      <c r="M34" s="11" t="s">
        <v>105</v>
      </c>
      <c r="N34" s="11"/>
      <c r="O34" s="11" t="s">
        <v>121</v>
      </c>
      <c r="P34" s="11"/>
      <c r="Q34" s="11"/>
      <c r="R34" s="11"/>
      <c r="S34" s="11"/>
      <c r="T34" s="11" t="s">
        <v>107</v>
      </c>
      <c r="U34" s="11"/>
      <c r="V34" s="11"/>
      <c r="W34" s="11"/>
      <c r="X34" s="11"/>
      <c r="Y34" s="11" t="s">
        <v>108</v>
      </c>
      <c r="Z34" s="11">
        <v>3</v>
      </c>
      <c r="AA34" s="11" t="s">
        <v>117</v>
      </c>
      <c r="AB34" s="11"/>
      <c r="AC34" s="12"/>
      <c r="AD34" s="11"/>
      <c r="AE34" s="13" t="s">
        <v>208</v>
      </c>
      <c r="AF34" s="11" t="str">
        <f t="shared" si="0"/>
        <v>Not started</v>
      </c>
      <c r="AG34" s="11" t="s">
        <v>111</v>
      </c>
      <c r="AH34" s="11"/>
      <c r="AI34" s="11"/>
    </row>
    <row r="35" spans="1:35" ht="26.4" x14ac:dyDescent="0.3">
      <c r="A35" s="11" t="s">
        <v>255</v>
      </c>
      <c r="B35" s="11" t="s">
        <v>97</v>
      </c>
      <c r="C35" s="11" t="s">
        <v>201</v>
      </c>
      <c r="D35" s="11" t="s">
        <v>202</v>
      </c>
      <c r="E35" s="11" t="s">
        <v>203</v>
      </c>
      <c r="F35" s="11" t="s">
        <v>204</v>
      </c>
      <c r="G35" s="11" t="s">
        <v>256</v>
      </c>
      <c r="H35" s="11" t="s">
        <v>257</v>
      </c>
      <c r="I35" s="11" t="s">
        <v>223</v>
      </c>
      <c r="J35" s="11"/>
      <c r="K35" s="12"/>
      <c r="L35" s="12"/>
      <c r="M35" s="11" t="s">
        <v>105</v>
      </c>
      <c r="N35" s="11"/>
      <c r="O35" s="11"/>
      <c r="P35" s="11"/>
      <c r="Q35" s="11"/>
      <c r="R35" s="11"/>
      <c r="S35" s="11"/>
      <c r="T35" s="11" t="s">
        <v>107</v>
      </c>
      <c r="U35" s="11"/>
      <c r="V35" s="11"/>
      <c r="W35" s="11"/>
      <c r="X35" s="11"/>
      <c r="Y35" s="11" t="s">
        <v>108</v>
      </c>
      <c r="Z35" s="11">
        <v>3</v>
      </c>
      <c r="AA35" s="11" t="s">
        <v>117</v>
      </c>
      <c r="AB35" s="11"/>
      <c r="AC35" s="12"/>
      <c r="AD35" s="11" t="s">
        <v>258</v>
      </c>
      <c r="AE35" s="13" t="s">
        <v>208</v>
      </c>
      <c r="AF35" s="11" t="str">
        <f t="shared" si="0"/>
        <v>Not started</v>
      </c>
      <c r="AG35" s="11" t="s">
        <v>111</v>
      </c>
      <c r="AH35" s="11"/>
      <c r="AI35" s="11"/>
    </row>
    <row r="36" spans="1:35" ht="26.4" x14ac:dyDescent="0.3">
      <c r="A36" s="11" t="s">
        <v>259</v>
      </c>
      <c r="B36" s="11" t="s">
        <v>97</v>
      </c>
      <c r="C36" s="11" t="s">
        <v>201</v>
      </c>
      <c r="D36" s="11" t="s">
        <v>202</v>
      </c>
      <c r="E36" s="11" t="s">
        <v>203</v>
      </c>
      <c r="F36" s="11" t="s">
        <v>213</v>
      </c>
      <c r="G36" s="11" t="s">
        <v>260</v>
      </c>
      <c r="H36" s="11" t="s">
        <v>261</v>
      </c>
      <c r="I36" s="11" t="s">
        <v>181</v>
      </c>
      <c r="J36" s="11"/>
      <c r="K36" s="12"/>
      <c r="L36" s="12"/>
      <c r="M36" s="11" t="s">
        <v>105</v>
      </c>
      <c r="N36" s="11"/>
      <c r="O36" s="11"/>
      <c r="P36" s="11"/>
      <c r="Q36" s="11"/>
      <c r="R36" s="11"/>
      <c r="S36" s="11"/>
      <c r="T36" s="11" t="s">
        <v>107</v>
      </c>
      <c r="U36" s="11"/>
      <c r="V36" s="11"/>
      <c r="W36" s="11"/>
      <c r="X36" s="11"/>
      <c r="Y36" s="11" t="s">
        <v>108</v>
      </c>
      <c r="Z36" s="11">
        <v>12</v>
      </c>
      <c r="AA36" s="11" t="s">
        <v>117</v>
      </c>
      <c r="AB36" s="11"/>
      <c r="AC36" s="12"/>
      <c r="AD36" s="11"/>
      <c r="AE36" s="13" t="s">
        <v>216</v>
      </c>
      <c r="AF36" s="11" t="str">
        <f t="shared" si="0"/>
        <v>Not started</v>
      </c>
      <c r="AG36" s="11" t="s">
        <v>111</v>
      </c>
      <c r="AH36" s="11"/>
      <c r="AI36" s="11"/>
    </row>
    <row r="37" spans="1:35" ht="26.4" x14ac:dyDescent="0.3">
      <c r="A37" s="11" t="s">
        <v>262</v>
      </c>
      <c r="B37" s="11" t="s">
        <v>97</v>
      </c>
      <c r="C37" s="11" t="s">
        <v>201</v>
      </c>
      <c r="D37" s="11" t="s">
        <v>202</v>
      </c>
      <c r="E37" s="11" t="s">
        <v>203</v>
      </c>
      <c r="F37" s="11" t="s">
        <v>213</v>
      </c>
      <c r="G37" s="11" t="s">
        <v>263</v>
      </c>
      <c r="H37" s="11" t="s">
        <v>264</v>
      </c>
      <c r="I37" s="11" t="s">
        <v>181</v>
      </c>
      <c r="J37" s="11"/>
      <c r="K37" s="12"/>
      <c r="L37" s="12"/>
      <c r="M37" s="11" t="s">
        <v>105</v>
      </c>
      <c r="N37" s="11"/>
      <c r="O37" s="11"/>
      <c r="P37" s="11"/>
      <c r="Q37" s="11"/>
      <c r="R37" s="11"/>
      <c r="S37" s="11"/>
      <c r="T37" s="11" t="s">
        <v>107</v>
      </c>
      <c r="U37" s="11"/>
      <c r="V37" s="11"/>
      <c r="W37" s="11"/>
      <c r="X37" s="11"/>
      <c r="Y37" s="11" t="s">
        <v>108</v>
      </c>
      <c r="Z37" s="11">
        <v>12</v>
      </c>
      <c r="AA37" s="11" t="s">
        <v>117</v>
      </c>
      <c r="AB37" s="11"/>
      <c r="AC37" s="12"/>
      <c r="AD37" s="11"/>
      <c r="AE37" s="13" t="s">
        <v>216</v>
      </c>
      <c r="AF37" s="11" t="str">
        <f t="shared" si="0"/>
        <v>Not started</v>
      </c>
      <c r="AG37" s="11" t="s">
        <v>111</v>
      </c>
      <c r="AH37" s="11"/>
      <c r="AI37" s="11"/>
    </row>
    <row r="38" spans="1:35" ht="26.4" x14ac:dyDescent="0.3">
      <c r="A38" s="11" t="s">
        <v>265</v>
      </c>
      <c r="B38" s="11" t="s">
        <v>97</v>
      </c>
      <c r="C38" s="11" t="s">
        <v>201</v>
      </c>
      <c r="D38" s="11" t="s">
        <v>202</v>
      </c>
      <c r="E38" s="11" t="s">
        <v>203</v>
      </c>
      <c r="F38" s="11" t="s">
        <v>213</v>
      </c>
      <c r="G38" s="11" t="s">
        <v>266</v>
      </c>
      <c r="H38" s="11" t="s">
        <v>267</v>
      </c>
      <c r="I38" s="11" t="s">
        <v>181</v>
      </c>
      <c r="J38" s="11"/>
      <c r="K38" s="12"/>
      <c r="L38" s="12"/>
      <c r="M38" s="11" t="s">
        <v>105</v>
      </c>
      <c r="N38" s="11"/>
      <c r="O38" s="11"/>
      <c r="P38" s="11"/>
      <c r="Q38" s="11"/>
      <c r="R38" s="11"/>
      <c r="S38" s="11"/>
      <c r="T38" s="11" t="s">
        <v>107</v>
      </c>
      <c r="U38" s="11"/>
      <c r="V38" s="11"/>
      <c r="W38" s="11"/>
      <c r="X38" s="11"/>
      <c r="Y38" s="11" t="s">
        <v>108</v>
      </c>
      <c r="Z38" s="11">
        <v>12</v>
      </c>
      <c r="AA38" s="11" t="s">
        <v>117</v>
      </c>
      <c r="AB38" s="11"/>
      <c r="AC38" s="12"/>
      <c r="AD38" s="11"/>
      <c r="AE38" s="13" t="s">
        <v>216</v>
      </c>
      <c r="AF38" s="11" t="str">
        <f t="shared" si="0"/>
        <v>Not started</v>
      </c>
      <c r="AG38" s="11" t="s">
        <v>111</v>
      </c>
      <c r="AH38" s="11"/>
      <c r="AI38" s="11"/>
    </row>
    <row r="39" spans="1:35" ht="26.4" x14ac:dyDescent="0.3">
      <c r="A39" s="11" t="s">
        <v>268</v>
      </c>
      <c r="B39" s="11" t="s">
        <v>97</v>
      </c>
      <c r="C39" s="11" t="s">
        <v>201</v>
      </c>
      <c r="D39" s="11" t="s">
        <v>202</v>
      </c>
      <c r="E39" s="11" t="s">
        <v>203</v>
      </c>
      <c r="F39" s="11" t="s">
        <v>213</v>
      </c>
      <c r="G39" s="11" t="s">
        <v>269</v>
      </c>
      <c r="H39" s="11" t="s">
        <v>270</v>
      </c>
      <c r="I39" s="11" t="s">
        <v>181</v>
      </c>
      <c r="J39" s="11"/>
      <c r="K39" s="12"/>
      <c r="L39" s="12"/>
      <c r="M39" s="11" t="s">
        <v>105</v>
      </c>
      <c r="N39" s="11"/>
      <c r="O39" s="11"/>
      <c r="P39" s="11"/>
      <c r="Q39" s="11"/>
      <c r="R39" s="11"/>
      <c r="S39" s="11"/>
      <c r="T39" s="11" t="s">
        <v>107</v>
      </c>
      <c r="U39" s="11"/>
      <c r="V39" s="11"/>
      <c r="W39" s="11"/>
      <c r="X39" s="11"/>
      <c r="Y39" s="11" t="s">
        <v>108</v>
      </c>
      <c r="Z39" s="11">
        <v>12</v>
      </c>
      <c r="AA39" s="11" t="s">
        <v>117</v>
      </c>
      <c r="AB39" s="11"/>
      <c r="AC39" s="12"/>
      <c r="AD39" s="11"/>
      <c r="AE39" s="13" t="s">
        <v>216</v>
      </c>
      <c r="AF39" s="11" t="str">
        <f t="shared" si="0"/>
        <v>Not started</v>
      </c>
      <c r="AG39" s="11" t="s">
        <v>111</v>
      </c>
      <c r="AH39" s="11"/>
      <c r="AI39" s="11"/>
    </row>
    <row r="40" spans="1:35" ht="26.4" x14ac:dyDescent="0.3">
      <c r="A40" s="11" t="s">
        <v>271</v>
      </c>
      <c r="B40" s="11" t="s">
        <v>97</v>
      </c>
      <c r="C40" s="11" t="s">
        <v>201</v>
      </c>
      <c r="D40" s="11" t="s">
        <v>202</v>
      </c>
      <c r="E40" s="11" t="s">
        <v>203</v>
      </c>
      <c r="F40" s="11" t="s">
        <v>213</v>
      </c>
      <c r="G40" s="11" t="s">
        <v>272</v>
      </c>
      <c r="H40" s="11" t="s">
        <v>273</v>
      </c>
      <c r="I40" s="11" t="s">
        <v>181</v>
      </c>
      <c r="J40" s="11"/>
      <c r="K40" s="12"/>
      <c r="L40" s="12"/>
      <c r="M40" s="11" t="s">
        <v>105</v>
      </c>
      <c r="N40" s="11"/>
      <c r="O40" s="11"/>
      <c r="P40" s="11"/>
      <c r="Q40" s="11"/>
      <c r="R40" s="11"/>
      <c r="S40" s="11"/>
      <c r="T40" s="11" t="s">
        <v>107</v>
      </c>
      <c r="U40" s="11"/>
      <c r="V40" s="11"/>
      <c r="W40" s="11"/>
      <c r="X40" s="11"/>
      <c r="Y40" s="11" t="s">
        <v>108</v>
      </c>
      <c r="Z40" s="11">
        <v>12</v>
      </c>
      <c r="AA40" s="11" t="s">
        <v>117</v>
      </c>
      <c r="AB40" s="11"/>
      <c r="AC40" s="12"/>
      <c r="AD40" s="11"/>
      <c r="AE40" s="13" t="s">
        <v>216</v>
      </c>
      <c r="AF40" s="11" t="str">
        <f t="shared" si="0"/>
        <v>Not started</v>
      </c>
      <c r="AG40" s="11" t="s">
        <v>111</v>
      </c>
      <c r="AH40" s="11"/>
      <c r="AI40" s="11"/>
    </row>
    <row r="41" spans="1:35" ht="26.4" x14ac:dyDescent="0.3">
      <c r="A41" s="11" t="s">
        <v>274</v>
      </c>
      <c r="B41" s="11" t="s">
        <v>97</v>
      </c>
      <c r="C41" s="11" t="s">
        <v>201</v>
      </c>
      <c r="D41" s="11" t="s">
        <v>202</v>
      </c>
      <c r="E41" s="11" t="s">
        <v>203</v>
      </c>
      <c r="F41" s="11" t="s">
        <v>213</v>
      </c>
      <c r="G41" s="11" t="s">
        <v>275</v>
      </c>
      <c r="H41" s="11" t="s">
        <v>276</v>
      </c>
      <c r="I41" s="11" t="s">
        <v>181</v>
      </c>
      <c r="J41" s="11"/>
      <c r="K41" s="12"/>
      <c r="L41" s="12"/>
      <c r="M41" s="11" t="s">
        <v>105</v>
      </c>
      <c r="N41" s="11"/>
      <c r="O41" s="11"/>
      <c r="P41" s="11"/>
      <c r="Q41" s="11"/>
      <c r="R41" s="11"/>
      <c r="S41" s="11"/>
      <c r="T41" s="11" t="s">
        <v>107</v>
      </c>
      <c r="U41" s="11"/>
      <c r="V41" s="11"/>
      <c r="W41" s="11"/>
      <c r="X41" s="11"/>
      <c r="Y41" s="11" t="s">
        <v>108</v>
      </c>
      <c r="Z41" s="11">
        <v>12</v>
      </c>
      <c r="AA41" s="11" t="s">
        <v>117</v>
      </c>
      <c r="AB41" s="11"/>
      <c r="AC41" s="12"/>
      <c r="AD41" s="11"/>
      <c r="AE41" s="13" t="s">
        <v>216</v>
      </c>
      <c r="AF41" s="11" t="str">
        <f t="shared" si="0"/>
        <v>Not started</v>
      </c>
      <c r="AG41" s="11" t="s">
        <v>111</v>
      </c>
      <c r="AH41" s="11"/>
      <c r="AI41" s="11"/>
    </row>
    <row r="42" spans="1:35" ht="39.6" x14ac:dyDescent="0.3">
      <c r="A42" s="11" t="s">
        <v>277</v>
      </c>
      <c r="B42" s="11" t="s">
        <v>97</v>
      </c>
      <c r="C42" s="11" t="s">
        <v>201</v>
      </c>
      <c r="D42" s="11" t="s">
        <v>278</v>
      </c>
      <c r="E42" s="11" t="s">
        <v>279</v>
      </c>
      <c r="F42" s="11" t="s">
        <v>101</v>
      </c>
      <c r="G42" s="11" t="s">
        <v>280</v>
      </c>
      <c r="H42" s="11" t="s">
        <v>281</v>
      </c>
      <c r="I42" s="11" t="s">
        <v>282</v>
      </c>
      <c r="J42" s="11"/>
      <c r="K42" s="12"/>
      <c r="L42" s="12"/>
      <c r="M42" s="11" t="s">
        <v>105</v>
      </c>
      <c r="N42" s="11"/>
      <c r="O42" s="11" t="s">
        <v>106</v>
      </c>
      <c r="P42" s="11"/>
      <c r="Q42" s="11"/>
      <c r="R42" s="11"/>
      <c r="S42" s="11"/>
      <c r="T42" s="11" t="s">
        <v>107</v>
      </c>
      <c r="U42" s="11"/>
      <c r="V42" s="11"/>
      <c r="W42" s="11"/>
      <c r="X42" s="11"/>
      <c r="Y42" s="11" t="s">
        <v>108</v>
      </c>
      <c r="Z42" s="11">
        <v>12</v>
      </c>
      <c r="AA42" s="11" t="s">
        <v>109</v>
      </c>
      <c r="AB42" s="11"/>
      <c r="AC42" s="12"/>
      <c r="AD42" s="11" t="s">
        <v>283</v>
      </c>
      <c r="AE42" s="13" t="s">
        <v>284</v>
      </c>
      <c r="AF42" s="11" t="str">
        <f t="shared" si="0"/>
        <v>Not started</v>
      </c>
      <c r="AG42" s="11" t="s">
        <v>111</v>
      </c>
      <c r="AH42" s="11"/>
      <c r="AI42" s="11"/>
    </row>
    <row r="43" spans="1:35" ht="26.4" x14ac:dyDescent="0.3">
      <c r="A43" s="11" t="s">
        <v>285</v>
      </c>
      <c r="B43" s="11" t="s">
        <v>97</v>
      </c>
      <c r="C43" s="11" t="s">
        <v>240</v>
      </c>
      <c r="D43" s="11" t="s">
        <v>202</v>
      </c>
      <c r="E43" s="11" t="s">
        <v>203</v>
      </c>
      <c r="F43" s="11" t="s">
        <v>204</v>
      </c>
      <c r="G43" s="11" t="s">
        <v>286</v>
      </c>
      <c r="H43" s="11" t="s">
        <v>287</v>
      </c>
      <c r="I43" s="11" t="s">
        <v>223</v>
      </c>
      <c r="J43" s="11"/>
      <c r="K43" s="12"/>
      <c r="L43" s="12"/>
      <c r="M43" s="11" t="s">
        <v>105</v>
      </c>
      <c r="N43" s="11"/>
      <c r="O43" s="11"/>
      <c r="P43" s="11"/>
      <c r="Q43" s="11"/>
      <c r="R43" s="11"/>
      <c r="S43" s="11"/>
      <c r="T43" s="11" t="s">
        <v>107</v>
      </c>
      <c r="U43" s="11"/>
      <c r="V43" s="11"/>
      <c r="W43" s="11"/>
      <c r="X43" s="11"/>
      <c r="Y43" s="11" t="s">
        <v>108</v>
      </c>
      <c r="Z43" s="11">
        <v>3</v>
      </c>
      <c r="AA43" s="11" t="s">
        <v>117</v>
      </c>
      <c r="AB43" s="11"/>
      <c r="AC43" s="12"/>
      <c r="AD43" s="11"/>
      <c r="AE43" s="13" t="s">
        <v>208</v>
      </c>
      <c r="AF43" s="11" t="str">
        <f t="shared" si="0"/>
        <v>Not started</v>
      </c>
      <c r="AG43" s="11" t="s">
        <v>111</v>
      </c>
      <c r="AH43" s="11"/>
      <c r="AI43" s="11"/>
    </row>
    <row r="44" spans="1:35" ht="26.4" x14ac:dyDescent="0.3">
      <c r="A44" s="11" t="s">
        <v>288</v>
      </c>
      <c r="B44" s="11" t="s">
        <v>97</v>
      </c>
      <c r="C44" s="11" t="s">
        <v>240</v>
      </c>
      <c r="D44" s="11" t="s">
        <v>202</v>
      </c>
      <c r="E44" s="11" t="s">
        <v>203</v>
      </c>
      <c r="F44" s="11" t="s">
        <v>204</v>
      </c>
      <c r="G44" s="11" t="s">
        <v>289</v>
      </c>
      <c r="H44" s="11" t="s">
        <v>290</v>
      </c>
      <c r="I44" s="11" t="s">
        <v>223</v>
      </c>
      <c r="J44" s="11"/>
      <c r="K44" s="12"/>
      <c r="L44" s="12"/>
      <c r="M44" s="11" t="s">
        <v>105</v>
      </c>
      <c r="N44" s="11"/>
      <c r="O44" s="11"/>
      <c r="P44" s="11"/>
      <c r="Q44" s="11"/>
      <c r="R44" s="11"/>
      <c r="S44" s="11"/>
      <c r="T44" s="11" t="s">
        <v>107</v>
      </c>
      <c r="U44" s="11"/>
      <c r="V44" s="11"/>
      <c r="W44" s="11"/>
      <c r="X44" s="11"/>
      <c r="Y44" s="11" t="s">
        <v>108</v>
      </c>
      <c r="Z44" s="11">
        <v>3</v>
      </c>
      <c r="AA44" s="11" t="s">
        <v>117</v>
      </c>
      <c r="AB44" s="11"/>
      <c r="AC44" s="12"/>
      <c r="AD44" s="11"/>
      <c r="AE44" s="13" t="s">
        <v>208</v>
      </c>
      <c r="AF44" s="11" t="str">
        <f t="shared" si="0"/>
        <v>Not started</v>
      </c>
      <c r="AG44" s="11" t="s">
        <v>111</v>
      </c>
      <c r="AH44" s="11"/>
      <c r="AI44" s="11"/>
    </row>
    <row r="45" spans="1:35" ht="26.4" x14ac:dyDescent="0.3">
      <c r="A45" s="11" t="s">
        <v>291</v>
      </c>
      <c r="B45" s="11" t="s">
        <v>97</v>
      </c>
      <c r="C45" s="11" t="s">
        <v>240</v>
      </c>
      <c r="D45" s="11" t="s">
        <v>202</v>
      </c>
      <c r="E45" s="11" t="s">
        <v>203</v>
      </c>
      <c r="F45" s="11" t="s">
        <v>204</v>
      </c>
      <c r="G45" s="11" t="s">
        <v>292</v>
      </c>
      <c r="H45" s="11" t="s">
        <v>293</v>
      </c>
      <c r="I45" s="11" t="s">
        <v>223</v>
      </c>
      <c r="J45" s="11"/>
      <c r="K45" s="12"/>
      <c r="L45" s="12"/>
      <c r="M45" s="11" t="s">
        <v>105</v>
      </c>
      <c r="N45" s="11"/>
      <c r="O45" s="11"/>
      <c r="P45" s="11"/>
      <c r="Q45" s="11"/>
      <c r="R45" s="11"/>
      <c r="S45" s="11"/>
      <c r="T45" s="11" t="s">
        <v>107</v>
      </c>
      <c r="U45" s="11"/>
      <c r="V45" s="11"/>
      <c r="W45" s="11"/>
      <c r="X45" s="11"/>
      <c r="Y45" s="11" t="s">
        <v>108</v>
      </c>
      <c r="Z45" s="11">
        <v>3</v>
      </c>
      <c r="AA45" s="11" t="s">
        <v>117</v>
      </c>
      <c r="AB45" s="11"/>
      <c r="AC45" s="12"/>
      <c r="AD45" s="11"/>
      <c r="AE45" s="13" t="s">
        <v>208</v>
      </c>
      <c r="AF45" s="11" t="str">
        <f t="shared" si="0"/>
        <v>Not started</v>
      </c>
      <c r="AG45" s="11" t="s">
        <v>111</v>
      </c>
      <c r="AH45" s="11"/>
      <c r="AI45" s="11"/>
    </row>
    <row r="46" spans="1:35" ht="39.6" x14ac:dyDescent="0.3">
      <c r="A46" s="11" t="s">
        <v>294</v>
      </c>
      <c r="B46" s="11" t="s">
        <v>97</v>
      </c>
      <c r="C46" s="11" t="s">
        <v>240</v>
      </c>
      <c r="D46" s="11" t="s">
        <v>295</v>
      </c>
      <c r="E46" s="11" t="s">
        <v>203</v>
      </c>
      <c r="F46" s="11" t="s">
        <v>204</v>
      </c>
      <c r="G46" s="11" t="s">
        <v>296</v>
      </c>
      <c r="H46" s="11" t="s">
        <v>297</v>
      </c>
      <c r="I46" s="11" t="s">
        <v>298</v>
      </c>
      <c r="J46" s="11"/>
      <c r="K46" s="12"/>
      <c r="L46" s="12"/>
      <c r="M46" s="11" t="s">
        <v>105</v>
      </c>
      <c r="N46" s="11"/>
      <c r="O46" s="11"/>
      <c r="P46" s="11"/>
      <c r="Q46" s="11"/>
      <c r="R46" s="11"/>
      <c r="S46" s="11"/>
      <c r="T46" s="11" t="s">
        <v>107</v>
      </c>
      <c r="U46" s="11"/>
      <c r="V46" s="11"/>
      <c r="W46" s="11"/>
      <c r="X46" s="11"/>
      <c r="Y46" s="11" t="s">
        <v>108</v>
      </c>
      <c r="Z46" s="11">
        <v>12</v>
      </c>
      <c r="AA46" s="11" t="s">
        <v>109</v>
      </c>
      <c r="AB46" s="11"/>
      <c r="AC46" s="12"/>
      <c r="AD46" s="11" t="s">
        <v>299</v>
      </c>
      <c r="AE46" s="11"/>
      <c r="AF46" s="11" t="str">
        <f t="shared" si="0"/>
        <v>Not started</v>
      </c>
      <c r="AG46" s="11" t="s">
        <v>111</v>
      </c>
      <c r="AH46" s="11"/>
      <c r="AI46" s="11"/>
    </row>
    <row r="47" spans="1:35" ht="26.4" x14ac:dyDescent="0.3">
      <c r="A47" s="11" t="s">
        <v>300</v>
      </c>
      <c r="B47" s="11" t="s">
        <v>97</v>
      </c>
      <c r="C47" s="11" t="s">
        <v>240</v>
      </c>
      <c r="D47" s="11" t="s">
        <v>295</v>
      </c>
      <c r="E47" s="11" t="s">
        <v>203</v>
      </c>
      <c r="F47" s="11" t="s">
        <v>204</v>
      </c>
      <c r="G47" s="11" t="s">
        <v>301</v>
      </c>
      <c r="H47" s="11" t="s">
        <v>302</v>
      </c>
      <c r="I47" s="11" t="s">
        <v>298</v>
      </c>
      <c r="J47" s="11"/>
      <c r="K47" s="12"/>
      <c r="L47" s="12"/>
      <c r="M47" s="11" t="s">
        <v>105</v>
      </c>
      <c r="N47" s="11"/>
      <c r="O47" s="11"/>
      <c r="P47" s="11"/>
      <c r="Q47" s="11"/>
      <c r="R47" s="11"/>
      <c r="S47" s="11"/>
      <c r="T47" s="11" t="s">
        <v>107</v>
      </c>
      <c r="U47" s="11"/>
      <c r="V47" s="11"/>
      <c r="W47" s="11"/>
      <c r="X47" s="11"/>
      <c r="Y47" s="11" t="s">
        <v>108</v>
      </c>
      <c r="Z47" s="11">
        <v>12</v>
      </c>
      <c r="AA47" s="11" t="s">
        <v>109</v>
      </c>
      <c r="AB47" s="11"/>
      <c r="AC47" s="12"/>
      <c r="AD47" s="11" t="s">
        <v>299</v>
      </c>
      <c r="AE47" s="11"/>
      <c r="AF47" s="11" t="str">
        <f t="shared" si="0"/>
        <v>Not started</v>
      </c>
      <c r="AG47" s="11" t="s">
        <v>111</v>
      </c>
      <c r="AH47" s="11"/>
      <c r="AI47" s="11"/>
    </row>
    <row r="48" spans="1:35" ht="26.4" x14ac:dyDescent="0.3">
      <c r="A48" s="11" t="s">
        <v>303</v>
      </c>
      <c r="B48" s="11" t="s">
        <v>97</v>
      </c>
      <c r="C48" s="11" t="s">
        <v>240</v>
      </c>
      <c r="D48" s="11" t="s">
        <v>304</v>
      </c>
      <c r="E48" s="11" t="s">
        <v>279</v>
      </c>
      <c r="F48" s="11" t="s">
        <v>204</v>
      </c>
      <c r="G48" s="11" t="s">
        <v>305</v>
      </c>
      <c r="H48" s="11" t="s">
        <v>306</v>
      </c>
      <c r="I48" s="11" t="s">
        <v>181</v>
      </c>
      <c r="J48" s="11"/>
      <c r="K48" s="12"/>
      <c r="L48" s="12"/>
      <c r="M48" s="11" t="s">
        <v>105</v>
      </c>
      <c r="N48" s="11"/>
      <c r="O48" s="11"/>
      <c r="P48" s="11"/>
      <c r="Q48" s="11"/>
      <c r="R48" s="11"/>
      <c r="S48" s="11"/>
      <c r="T48" s="11" t="s">
        <v>107</v>
      </c>
      <c r="U48" s="11"/>
      <c r="V48" s="11"/>
      <c r="W48" s="11"/>
      <c r="X48" s="11"/>
      <c r="Y48" s="11" t="s">
        <v>108</v>
      </c>
      <c r="Z48" s="11">
        <v>12</v>
      </c>
      <c r="AA48" s="11" t="s">
        <v>109</v>
      </c>
      <c r="AB48" s="11"/>
      <c r="AC48" s="12"/>
      <c r="AD48" s="11" t="s">
        <v>307</v>
      </c>
      <c r="AE48" s="11"/>
      <c r="AF48" s="11" t="str">
        <f t="shared" si="0"/>
        <v>Not started</v>
      </c>
      <c r="AG48" s="11" t="s">
        <v>111</v>
      </c>
      <c r="AH48" s="11"/>
      <c r="AI48" s="11"/>
    </row>
    <row r="49" spans="1:35" ht="26.4" x14ac:dyDescent="0.3">
      <c r="A49" s="11" t="s">
        <v>308</v>
      </c>
      <c r="B49" s="11" t="s">
        <v>97</v>
      </c>
      <c r="C49" s="11" t="s">
        <v>236</v>
      </c>
      <c r="D49" s="11" t="s">
        <v>309</v>
      </c>
      <c r="E49" s="11" t="s">
        <v>279</v>
      </c>
      <c r="F49" s="11" t="s">
        <v>310</v>
      </c>
      <c r="G49" s="11" t="s">
        <v>311</v>
      </c>
      <c r="H49" s="11" t="s">
        <v>312</v>
      </c>
      <c r="I49" s="11" t="s">
        <v>313</v>
      </c>
      <c r="J49" s="11"/>
      <c r="K49" s="12"/>
      <c r="L49" s="12"/>
      <c r="M49" s="11" t="s">
        <v>105</v>
      </c>
      <c r="N49" s="11"/>
      <c r="O49" s="11"/>
      <c r="P49" s="11"/>
      <c r="Q49" s="11"/>
      <c r="R49" s="11"/>
      <c r="S49" s="11"/>
      <c r="T49" s="11" t="s">
        <v>107</v>
      </c>
      <c r="U49" s="11"/>
      <c r="V49" s="11"/>
      <c r="W49" s="11"/>
      <c r="X49" s="11"/>
      <c r="Y49" s="11" t="s">
        <v>108</v>
      </c>
      <c r="Z49" s="11">
        <v>3</v>
      </c>
      <c r="AA49" s="11" t="s">
        <v>109</v>
      </c>
      <c r="AB49" s="11"/>
      <c r="AC49" s="12"/>
      <c r="AD49" s="11" t="s">
        <v>314</v>
      </c>
      <c r="AE49" s="11"/>
      <c r="AF49" s="11" t="str">
        <f t="shared" si="0"/>
        <v>Not started</v>
      </c>
      <c r="AG49" s="11" t="s">
        <v>111</v>
      </c>
      <c r="AH49" s="11"/>
      <c r="AI49" s="11"/>
    </row>
    <row r="50" spans="1:35" ht="26.4" x14ac:dyDescent="0.3">
      <c r="A50" s="11" t="s">
        <v>315</v>
      </c>
      <c r="B50" s="11" t="s">
        <v>97</v>
      </c>
      <c r="C50" s="11" t="s">
        <v>236</v>
      </c>
      <c r="D50" s="11" t="s">
        <v>304</v>
      </c>
      <c r="E50" s="11" t="s">
        <v>279</v>
      </c>
      <c r="F50" s="11" t="s">
        <v>310</v>
      </c>
      <c r="G50" s="11" t="s">
        <v>316</v>
      </c>
      <c r="H50" s="11" t="s">
        <v>317</v>
      </c>
      <c r="I50" s="11" t="s">
        <v>313</v>
      </c>
      <c r="J50" s="11"/>
      <c r="K50" s="12"/>
      <c r="L50" s="12"/>
      <c r="M50" s="11" t="s">
        <v>105</v>
      </c>
      <c r="N50" s="11"/>
      <c r="O50" s="11"/>
      <c r="P50" s="11"/>
      <c r="Q50" s="11"/>
      <c r="R50" s="11"/>
      <c r="S50" s="11"/>
      <c r="T50" s="11" t="s">
        <v>107</v>
      </c>
      <c r="U50" s="11"/>
      <c r="V50" s="11"/>
      <c r="W50" s="11"/>
      <c r="X50" s="11"/>
      <c r="Y50" s="11" t="s">
        <v>108</v>
      </c>
      <c r="Z50" s="11">
        <v>1</v>
      </c>
      <c r="AA50" s="11" t="s">
        <v>109</v>
      </c>
      <c r="AB50" s="11"/>
      <c r="AC50" s="12"/>
      <c r="AD50" s="11" t="s">
        <v>318</v>
      </c>
      <c r="AE50" s="11"/>
      <c r="AF50" s="11" t="str">
        <f t="shared" si="0"/>
        <v>Not started</v>
      </c>
      <c r="AG50" s="11" t="s">
        <v>111</v>
      </c>
      <c r="AH50" s="11"/>
      <c r="AI50" s="11"/>
    </row>
    <row r="51" spans="1:35" ht="26.4" x14ac:dyDescent="0.3">
      <c r="A51" s="11" t="s">
        <v>319</v>
      </c>
      <c r="B51" s="11" t="s">
        <v>97</v>
      </c>
      <c r="C51" s="11" t="s">
        <v>236</v>
      </c>
      <c r="D51" s="11" t="s">
        <v>304</v>
      </c>
      <c r="E51" s="11" t="s">
        <v>279</v>
      </c>
      <c r="F51" s="11" t="s">
        <v>213</v>
      </c>
      <c r="G51" s="11" t="s">
        <v>320</v>
      </c>
      <c r="H51" s="11" t="s">
        <v>321</v>
      </c>
      <c r="I51" s="11" t="s">
        <v>282</v>
      </c>
      <c r="J51" s="11"/>
      <c r="K51" s="12"/>
      <c r="L51" s="12"/>
      <c r="M51" s="11" t="s">
        <v>105</v>
      </c>
      <c r="N51" s="11"/>
      <c r="O51" s="11"/>
      <c r="P51" s="11"/>
      <c r="Q51" s="11"/>
      <c r="R51" s="11"/>
      <c r="S51" s="11"/>
      <c r="T51" s="11" t="s">
        <v>107</v>
      </c>
      <c r="U51" s="11"/>
      <c r="V51" s="11"/>
      <c r="W51" s="11"/>
      <c r="X51" s="11"/>
      <c r="Y51" s="11" t="s">
        <v>108</v>
      </c>
      <c r="Z51" s="11">
        <v>12</v>
      </c>
      <c r="AA51" s="11" t="s">
        <v>109</v>
      </c>
      <c r="AB51" s="11"/>
      <c r="AC51" s="12"/>
      <c r="AD51" s="11" t="s">
        <v>322</v>
      </c>
      <c r="AE51" s="11"/>
      <c r="AF51" s="11" t="str">
        <f t="shared" si="0"/>
        <v>Not started</v>
      </c>
      <c r="AG51" s="11" t="s">
        <v>111</v>
      </c>
      <c r="AH51" s="11"/>
      <c r="AI51" s="11"/>
    </row>
    <row r="52" spans="1:35" ht="26.4" x14ac:dyDescent="0.3">
      <c r="A52" s="11" t="s">
        <v>323</v>
      </c>
      <c r="B52" s="11" t="s">
        <v>97</v>
      </c>
      <c r="C52" s="11" t="s">
        <v>236</v>
      </c>
      <c r="D52" s="11" t="s">
        <v>304</v>
      </c>
      <c r="E52" s="11" t="s">
        <v>279</v>
      </c>
      <c r="F52" s="11" t="s">
        <v>213</v>
      </c>
      <c r="G52" s="11" t="s">
        <v>324</v>
      </c>
      <c r="H52" s="11" t="s">
        <v>325</v>
      </c>
      <c r="I52" s="11" t="s">
        <v>181</v>
      </c>
      <c r="J52" s="11"/>
      <c r="K52" s="12"/>
      <c r="L52" s="12"/>
      <c r="M52" s="11" t="s">
        <v>105</v>
      </c>
      <c r="N52" s="11"/>
      <c r="O52" s="11"/>
      <c r="P52" s="11"/>
      <c r="Q52" s="11"/>
      <c r="R52" s="11"/>
      <c r="S52" s="11"/>
      <c r="T52" s="11" t="s">
        <v>107</v>
      </c>
      <c r="U52" s="11"/>
      <c r="V52" s="11"/>
      <c r="W52" s="11"/>
      <c r="X52" s="11"/>
      <c r="Y52" s="11" t="s">
        <v>108</v>
      </c>
      <c r="Z52" s="11">
        <v>12</v>
      </c>
      <c r="AA52" s="11" t="s">
        <v>109</v>
      </c>
      <c r="AB52" s="11"/>
      <c r="AC52" s="12"/>
      <c r="AD52" s="11" t="s">
        <v>326</v>
      </c>
      <c r="AE52" s="11"/>
      <c r="AF52" s="11" t="str">
        <f t="shared" si="0"/>
        <v>Not started</v>
      </c>
      <c r="AG52" s="11" t="s">
        <v>111</v>
      </c>
      <c r="AH52" s="11"/>
      <c r="AI52" s="11"/>
    </row>
    <row r="53" spans="1:35" ht="39.6" x14ac:dyDescent="0.3">
      <c r="A53" s="11" t="s">
        <v>327</v>
      </c>
      <c r="B53" s="11" t="s">
        <v>328</v>
      </c>
      <c r="C53" s="11" t="s">
        <v>329</v>
      </c>
      <c r="D53" s="11" t="s">
        <v>330</v>
      </c>
      <c r="E53" s="11" t="s">
        <v>203</v>
      </c>
      <c r="F53" s="11" t="s">
        <v>204</v>
      </c>
      <c r="G53" s="11" t="s">
        <v>331</v>
      </c>
      <c r="H53" s="11" t="s">
        <v>332</v>
      </c>
      <c r="I53" s="11" t="s">
        <v>333</v>
      </c>
      <c r="J53" s="11"/>
      <c r="K53" s="12"/>
      <c r="L53" s="12"/>
      <c r="M53" s="11" t="s">
        <v>105</v>
      </c>
      <c r="N53" s="11"/>
      <c r="O53" s="11" t="s">
        <v>334</v>
      </c>
      <c r="P53" s="11"/>
      <c r="Q53" s="11"/>
      <c r="R53" s="11"/>
      <c r="S53" s="11"/>
      <c r="T53" s="11" t="s">
        <v>107</v>
      </c>
      <c r="U53" s="11"/>
      <c r="V53" s="11"/>
      <c r="W53" s="11"/>
      <c r="X53" s="11"/>
      <c r="Y53" s="11" t="s">
        <v>108</v>
      </c>
      <c r="Z53" s="11">
        <v>12</v>
      </c>
      <c r="AA53" s="11" t="s">
        <v>109</v>
      </c>
      <c r="AB53" s="11"/>
      <c r="AC53" s="12"/>
      <c r="AD53" s="11" t="s">
        <v>335</v>
      </c>
      <c r="AE53" s="13" t="s">
        <v>336</v>
      </c>
      <c r="AF53" s="11" t="str">
        <f t="shared" si="0"/>
        <v>Not started</v>
      </c>
      <c r="AG53" s="11" t="s">
        <v>111</v>
      </c>
      <c r="AH53" s="11"/>
      <c r="AI53" s="11"/>
    </row>
    <row r="54" spans="1:35" ht="39.6" x14ac:dyDescent="0.3">
      <c r="A54" s="11" t="s">
        <v>337</v>
      </c>
      <c r="B54" s="11" t="s">
        <v>328</v>
      </c>
      <c r="C54" s="11" t="s">
        <v>329</v>
      </c>
      <c r="D54" s="11" t="s">
        <v>330</v>
      </c>
      <c r="E54" s="11" t="s">
        <v>203</v>
      </c>
      <c r="F54" s="11" t="s">
        <v>213</v>
      </c>
      <c r="G54" s="11" t="s">
        <v>338</v>
      </c>
      <c r="H54" s="11" t="s">
        <v>339</v>
      </c>
      <c r="I54" s="11" t="s">
        <v>340</v>
      </c>
      <c r="J54" s="11"/>
      <c r="K54" s="12"/>
      <c r="L54" s="12"/>
      <c r="M54" s="11" t="s">
        <v>105</v>
      </c>
      <c r="N54" s="11"/>
      <c r="O54" s="11" t="s">
        <v>341</v>
      </c>
      <c r="P54" s="11"/>
      <c r="Q54" s="11"/>
      <c r="R54" s="11"/>
      <c r="S54" s="11"/>
      <c r="T54" s="11" t="s">
        <v>107</v>
      </c>
      <c r="U54" s="11"/>
      <c r="V54" s="11"/>
      <c r="W54" s="11"/>
      <c r="X54" s="11"/>
      <c r="Y54" s="11" t="s">
        <v>108</v>
      </c>
      <c r="Z54" s="11">
        <v>12</v>
      </c>
      <c r="AA54" s="11" t="s">
        <v>117</v>
      </c>
      <c r="AB54" s="11"/>
      <c r="AC54" s="12"/>
      <c r="AD54" s="11"/>
      <c r="AE54" s="13" t="s">
        <v>342</v>
      </c>
      <c r="AF54" s="11" t="str">
        <f t="shared" si="0"/>
        <v>Not started</v>
      </c>
      <c r="AG54" s="11" t="s">
        <v>111</v>
      </c>
      <c r="AH54" s="11"/>
      <c r="AI54" s="11"/>
    </row>
    <row r="55" spans="1:35" ht="26.4" x14ac:dyDescent="0.3">
      <c r="A55" s="11" t="s">
        <v>343</v>
      </c>
      <c r="B55" s="11" t="s">
        <v>328</v>
      </c>
      <c r="C55" s="11" t="s">
        <v>329</v>
      </c>
      <c r="D55" s="11" t="s">
        <v>330</v>
      </c>
      <c r="E55" s="11" t="s">
        <v>203</v>
      </c>
      <c r="F55" s="11" t="s">
        <v>213</v>
      </c>
      <c r="G55" s="11" t="s">
        <v>344</v>
      </c>
      <c r="H55" s="11" t="s">
        <v>345</v>
      </c>
      <c r="I55" s="11" t="s">
        <v>181</v>
      </c>
      <c r="J55" s="11"/>
      <c r="K55" s="12"/>
      <c r="L55" s="12"/>
      <c r="M55" s="11" t="s">
        <v>105</v>
      </c>
      <c r="N55" s="11"/>
      <c r="O55" s="11"/>
      <c r="P55" s="11"/>
      <c r="Q55" s="11"/>
      <c r="R55" s="11"/>
      <c r="S55" s="11"/>
      <c r="T55" s="11" t="s">
        <v>107</v>
      </c>
      <c r="U55" s="11"/>
      <c r="V55" s="11"/>
      <c r="W55" s="11"/>
      <c r="X55" s="11"/>
      <c r="Y55" s="11" t="s">
        <v>108</v>
      </c>
      <c r="Z55" s="11">
        <v>12</v>
      </c>
      <c r="AA55" s="11" t="s">
        <v>109</v>
      </c>
      <c r="AB55" s="11"/>
      <c r="AC55" s="12"/>
      <c r="AD55" s="11"/>
      <c r="AE55" s="13" t="s">
        <v>336</v>
      </c>
      <c r="AF55" s="11" t="str">
        <f t="shared" si="0"/>
        <v>Not started</v>
      </c>
      <c r="AG55" s="11" t="s">
        <v>111</v>
      </c>
      <c r="AH55" s="11"/>
      <c r="AI55" s="11"/>
    </row>
    <row r="56" spans="1:35" ht="26.4" x14ac:dyDescent="0.3">
      <c r="A56" s="11" t="s">
        <v>346</v>
      </c>
      <c r="B56" s="11" t="s">
        <v>328</v>
      </c>
      <c r="C56" s="11" t="s">
        <v>329</v>
      </c>
      <c r="D56" s="11" t="s">
        <v>330</v>
      </c>
      <c r="E56" s="11" t="s">
        <v>203</v>
      </c>
      <c r="F56" s="11" t="s">
        <v>213</v>
      </c>
      <c r="G56" s="11" t="s">
        <v>347</v>
      </c>
      <c r="H56" s="11" t="s">
        <v>348</v>
      </c>
      <c r="I56" s="11" t="s">
        <v>282</v>
      </c>
      <c r="J56" s="11"/>
      <c r="K56" s="12"/>
      <c r="L56" s="12"/>
      <c r="M56" s="11" t="s">
        <v>105</v>
      </c>
      <c r="N56" s="11"/>
      <c r="O56" s="11"/>
      <c r="P56" s="11"/>
      <c r="Q56" s="11"/>
      <c r="R56" s="11"/>
      <c r="S56" s="11"/>
      <c r="T56" s="11" t="s">
        <v>107</v>
      </c>
      <c r="U56" s="11"/>
      <c r="V56" s="11"/>
      <c r="W56" s="11"/>
      <c r="X56" s="11"/>
      <c r="Y56" s="11" t="s">
        <v>108</v>
      </c>
      <c r="Z56" s="11">
        <v>12</v>
      </c>
      <c r="AA56" s="11" t="s">
        <v>109</v>
      </c>
      <c r="AB56" s="11"/>
      <c r="AC56" s="12"/>
      <c r="AD56" s="11"/>
      <c r="AE56" s="13" t="s">
        <v>336</v>
      </c>
      <c r="AF56" s="11" t="str">
        <f t="shared" si="0"/>
        <v>Not started</v>
      </c>
      <c r="AG56" s="11" t="s">
        <v>111</v>
      </c>
      <c r="AH56" s="11"/>
      <c r="AI56" s="11"/>
    </row>
    <row r="57" spans="1:35" ht="26.4" x14ac:dyDescent="0.3">
      <c r="A57" s="11" t="s">
        <v>349</v>
      </c>
      <c r="B57" s="11" t="s">
        <v>328</v>
      </c>
      <c r="C57" s="11" t="s">
        <v>329</v>
      </c>
      <c r="D57" s="11" t="s">
        <v>330</v>
      </c>
      <c r="E57" s="11" t="s">
        <v>203</v>
      </c>
      <c r="F57" s="11" t="s">
        <v>213</v>
      </c>
      <c r="G57" s="11" t="s">
        <v>350</v>
      </c>
      <c r="H57" s="11" t="s">
        <v>351</v>
      </c>
      <c r="I57" s="11" t="s">
        <v>181</v>
      </c>
      <c r="J57" s="11"/>
      <c r="K57" s="12"/>
      <c r="L57" s="12"/>
      <c r="M57" s="11" t="s">
        <v>105</v>
      </c>
      <c r="N57" s="11"/>
      <c r="O57" s="11"/>
      <c r="P57" s="11"/>
      <c r="Q57" s="11"/>
      <c r="R57" s="11"/>
      <c r="S57" s="11"/>
      <c r="T57" s="11" t="s">
        <v>107</v>
      </c>
      <c r="U57" s="11"/>
      <c r="V57" s="11"/>
      <c r="W57" s="11"/>
      <c r="X57" s="11"/>
      <c r="Y57" s="11" t="s">
        <v>108</v>
      </c>
      <c r="Z57" s="11">
        <v>12</v>
      </c>
      <c r="AA57" s="11" t="s">
        <v>109</v>
      </c>
      <c r="AB57" s="11"/>
      <c r="AC57" s="12"/>
      <c r="AD57" s="11"/>
      <c r="AE57" s="13" t="s">
        <v>336</v>
      </c>
      <c r="AF57" s="11" t="str">
        <f t="shared" si="0"/>
        <v>Not started</v>
      </c>
      <c r="AG57" s="11" t="s">
        <v>111</v>
      </c>
      <c r="AH57" s="11"/>
      <c r="AI57" s="11"/>
    </row>
    <row r="58" spans="1:35" ht="39.6" x14ac:dyDescent="0.3">
      <c r="A58" s="11" t="s">
        <v>352</v>
      </c>
      <c r="B58" s="11" t="s">
        <v>328</v>
      </c>
      <c r="C58" s="11" t="s">
        <v>329</v>
      </c>
      <c r="D58" s="11" t="s">
        <v>353</v>
      </c>
      <c r="E58" s="11" t="s">
        <v>203</v>
      </c>
      <c r="F58" s="11" t="s">
        <v>204</v>
      </c>
      <c r="G58" s="11" t="s">
        <v>354</v>
      </c>
      <c r="H58" s="11" t="s">
        <v>355</v>
      </c>
      <c r="I58" s="11" t="s">
        <v>333</v>
      </c>
      <c r="J58" s="11"/>
      <c r="K58" s="12"/>
      <c r="L58" s="12"/>
      <c r="M58" s="11" t="s">
        <v>105</v>
      </c>
      <c r="N58" s="11"/>
      <c r="O58" s="11" t="s">
        <v>356</v>
      </c>
      <c r="P58" s="11"/>
      <c r="Q58" s="13" t="s">
        <v>357</v>
      </c>
      <c r="R58" s="13" t="s">
        <v>358</v>
      </c>
      <c r="S58" s="11" t="s">
        <v>141</v>
      </c>
      <c r="T58" s="11" t="s">
        <v>142</v>
      </c>
      <c r="U58" s="11" t="s">
        <v>359</v>
      </c>
      <c r="V58" s="11">
        <v>9456</v>
      </c>
      <c r="W58" s="11">
        <v>160</v>
      </c>
      <c r="X58" s="11" t="s">
        <v>360</v>
      </c>
      <c r="Y58" s="11" t="s">
        <v>108</v>
      </c>
      <c r="Z58" s="11">
        <v>1</v>
      </c>
      <c r="AA58" s="11" t="s">
        <v>117</v>
      </c>
      <c r="AB58" s="11"/>
      <c r="AC58" s="12"/>
      <c r="AD58" s="11" t="s">
        <v>361</v>
      </c>
      <c r="AE58" s="11"/>
      <c r="AF58" s="11" t="str">
        <f t="shared" si="0"/>
        <v>Verify status</v>
      </c>
      <c r="AG58" s="11" t="s">
        <v>111</v>
      </c>
      <c r="AH58" s="11"/>
      <c r="AI58" s="11"/>
    </row>
    <row r="59" spans="1:35" ht="39.6" x14ac:dyDescent="0.3">
      <c r="A59" s="11" t="s">
        <v>362</v>
      </c>
      <c r="B59" s="11" t="s">
        <v>328</v>
      </c>
      <c r="C59" s="11" t="s">
        <v>329</v>
      </c>
      <c r="D59" s="11" t="s">
        <v>353</v>
      </c>
      <c r="E59" s="11" t="s">
        <v>203</v>
      </c>
      <c r="F59" s="11" t="s">
        <v>204</v>
      </c>
      <c r="G59" s="11" t="s">
        <v>363</v>
      </c>
      <c r="H59" s="11" t="s">
        <v>364</v>
      </c>
      <c r="I59" s="11" t="s">
        <v>138</v>
      </c>
      <c r="J59" s="11"/>
      <c r="K59" s="12"/>
      <c r="L59" s="12"/>
      <c r="M59" s="11" t="s">
        <v>105</v>
      </c>
      <c r="N59" s="11"/>
      <c r="O59" s="11" t="s">
        <v>356</v>
      </c>
      <c r="P59" s="11"/>
      <c r="Q59" s="13" t="s">
        <v>365</v>
      </c>
      <c r="R59" s="13" t="s">
        <v>365</v>
      </c>
      <c r="S59" s="11" t="s">
        <v>141</v>
      </c>
      <c r="T59" s="11" t="s">
        <v>142</v>
      </c>
      <c r="U59" s="11" t="s">
        <v>366</v>
      </c>
      <c r="V59" s="11">
        <v>58</v>
      </c>
      <c r="W59" s="11"/>
      <c r="X59" s="11" t="s">
        <v>367</v>
      </c>
      <c r="Y59" s="11" t="s">
        <v>108</v>
      </c>
      <c r="Z59" s="11">
        <v>12</v>
      </c>
      <c r="AA59" s="11" t="s">
        <v>117</v>
      </c>
      <c r="AB59" s="11"/>
      <c r="AC59" s="12"/>
      <c r="AD59" s="11" t="s">
        <v>219</v>
      </c>
      <c r="AE59" s="11"/>
      <c r="AF59" s="11" t="str">
        <f t="shared" si="0"/>
        <v>Verify status</v>
      </c>
      <c r="AG59" s="11" t="s">
        <v>111</v>
      </c>
      <c r="AH59" s="11"/>
      <c r="AI59" s="11"/>
    </row>
    <row r="60" spans="1:35" ht="26.4" x14ac:dyDescent="0.3">
      <c r="A60" s="11" t="s">
        <v>368</v>
      </c>
      <c r="B60" s="11" t="s">
        <v>328</v>
      </c>
      <c r="C60" s="11" t="s">
        <v>329</v>
      </c>
      <c r="D60" s="11" t="s">
        <v>353</v>
      </c>
      <c r="E60" s="11" t="s">
        <v>203</v>
      </c>
      <c r="F60" s="11" t="s">
        <v>204</v>
      </c>
      <c r="G60" s="11" t="s">
        <v>369</v>
      </c>
      <c r="H60" s="11" t="s">
        <v>370</v>
      </c>
      <c r="I60" s="11" t="s">
        <v>340</v>
      </c>
      <c r="J60" s="11"/>
      <c r="K60" s="12"/>
      <c r="L60" s="12"/>
      <c r="M60" s="11" t="s">
        <v>105</v>
      </c>
      <c r="N60" s="11"/>
      <c r="O60" s="11" t="s">
        <v>356</v>
      </c>
      <c r="P60" s="11"/>
      <c r="Q60" s="11"/>
      <c r="R60" s="11"/>
      <c r="S60" s="11"/>
      <c r="T60" s="11" t="s">
        <v>107</v>
      </c>
      <c r="U60" s="11"/>
      <c r="V60" s="11"/>
      <c r="W60" s="11"/>
      <c r="X60" s="11"/>
      <c r="Y60" s="11" t="s">
        <v>108</v>
      </c>
      <c r="Z60" s="11">
        <v>3</v>
      </c>
      <c r="AA60" s="11" t="s">
        <v>117</v>
      </c>
      <c r="AB60" s="11"/>
      <c r="AC60" s="12"/>
      <c r="AD60" s="11" t="s">
        <v>371</v>
      </c>
      <c r="AE60" s="13" t="s">
        <v>357</v>
      </c>
      <c r="AF60" s="11" t="str">
        <f t="shared" si="0"/>
        <v>Not started</v>
      </c>
      <c r="AG60" s="11" t="s">
        <v>111</v>
      </c>
      <c r="AH60" s="11"/>
      <c r="AI60" s="11"/>
    </row>
    <row r="61" spans="1:35" ht="26.4" x14ac:dyDescent="0.3">
      <c r="A61" s="11" t="s">
        <v>372</v>
      </c>
      <c r="B61" s="11" t="s">
        <v>328</v>
      </c>
      <c r="C61" s="11" t="s">
        <v>329</v>
      </c>
      <c r="D61" s="11" t="s">
        <v>353</v>
      </c>
      <c r="E61" s="11" t="s">
        <v>203</v>
      </c>
      <c r="F61" s="11" t="s">
        <v>204</v>
      </c>
      <c r="G61" s="11" t="s">
        <v>373</v>
      </c>
      <c r="H61" s="11" t="s">
        <v>374</v>
      </c>
      <c r="I61" s="11" t="s">
        <v>375</v>
      </c>
      <c r="J61" s="11"/>
      <c r="K61" s="12"/>
      <c r="L61" s="12"/>
      <c r="M61" s="11" t="s">
        <v>105</v>
      </c>
      <c r="N61" s="11"/>
      <c r="O61" s="11" t="s">
        <v>356</v>
      </c>
      <c r="P61" s="11"/>
      <c r="Q61" s="11"/>
      <c r="R61" s="11"/>
      <c r="S61" s="11"/>
      <c r="T61" s="11" t="s">
        <v>107</v>
      </c>
      <c r="U61" s="11"/>
      <c r="V61" s="11"/>
      <c r="W61" s="11"/>
      <c r="X61" s="11"/>
      <c r="Y61" s="11" t="s">
        <v>108</v>
      </c>
      <c r="Z61" s="11">
        <v>1</v>
      </c>
      <c r="AA61" s="11" t="s">
        <v>117</v>
      </c>
      <c r="AB61" s="11"/>
      <c r="AC61" s="12"/>
      <c r="AD61" s="11"/>
      <c r="AE61" s="13" t="s">
        <v>357</v>
      </c>
      <c r="AF61" s="11" t="str">
        <f t="shared" si="0"/>
        <v>Not started</v>
      </c>
      <c r="AG61" s="11" t="s">
        <v>111</v>
      </c>
      <c r="AH61" s="11"/>
      <c r="AI61" s="11"/>
    </row>
    <row r="62" spans="1:35" ht="26.4" x14ac:dyDescent="0.3">
      <c r="A62" s="11" t="s">
        <v>376</v>
      </c>
      <c r="B62" s="11" t="s">
        <v>328</v>
      </c>
      <c r="C62" s="11" t="s">
        <v>329</v>
      </c>
      <c r="D62" s="11" t="s">
        <v>377</v>
      </c>
      <c r="E62" s="11" t="s">
        <v>203</v>
      </c>
      <c r="F62" s="11" t="s">
        <v>204</v>
      </c>
      <c r="G62" s="11" t="s">
        <v>378</v>
      </c>
      <c r="H62" s="11" t="s">
        <v>379</v>
      </c>
      <c r="I62" s="11" t="s">
        <v>223</v>
      </c>
      <c r="J62" s="11"/>
      <c r="K62" s="12"/>
      <c r="L62" s="12"/>
      <c r="M62" s="11" t="s">
        <v>105</v>
      </c>
      <c r="N62" s="11"/>
      <c r="O62" s="11" t="s">
        <v>380</v>
      </c>
      <c r="P62" s="11"/>
      <c r="Q62" s="11"/>
      <c r="R62" s="11"/>
      <c r="S62" s="11"/>
      <c r="T62" s="11" t="s">
        <v>107</v>
      </c>
      <c r="U62" s="11"/>
      <c r="V62" s="11"/>
      <c r="W62" s="11"/>
      <c r="X62" s="11"/>
      <c r="Y62" s="11" t="s">
        <v>108</v>
      </c>
      <c r="Z62" s="11">
        <v>3</v>
      </c>
      <c r="AA62" s="11" t="s">
        <v>109</v>
      </c>
      <c r="AB62" s="11"/>
      <c r="AC62" s="12"/>
      <c r="AD62" s="11"/>
      <c r="AE62" s="13" t="s">
        <v>381</v>
      </c>
      <c r="AF62" s="11" t="str">
        <f t="shared" si="0"/>
        <v>Not started</v>
      </c>
      <c r="AG62" s="11" t="s">
        <v>111</v>
      </c>
      <c r="AH62" s="11"/>
      <c r="AI62" s="11"/>
    </row>
    <row r="63" spans="1:35" ht="26.4" x14ac:dyDescent="0.3">
      <c r="A63" s="11" t="s">
        <v>382</v>
      </c>
      <c r="B63" s="11" t="s">
        <v>328</v>
      </c>
      <c r="C63" s="11" t="s">
        <v>329</v>
      </c>
      <c r="D63" s="11" t="s">
        <v>377</v>
      </c>
      <c r="E63" s="11" t="s">
        <v>203</v>
      </c>
      <c r="F63" s="11" t="s">
        <v>101</v>
      </c>
      <c r="G63" s="11" t="s">
        <v>383</v>
      </c>
      <c r="H63" s="11" t="s">
        <v>384</v>
      </c>
      <c r="I63" s="11" t="s">
        <v>340</v>
      </c>
      <c r="J63" s="11"/>
      <c r="K63" s="12"/>
      <c r="L63" s="12"/>
      <c r="M63" s="11" t="s">
        <v>105</v>
      </c>
      <c r="N63" s="11"/>
      <c r="O63" s="11"/>
      <c r="P63" s="11"/>
      <c r="Q63" s="11"/>
      <c r="R63" s="11"/>
      <c r="S63" s="11"/>
      <c r="T63" s="11" t="s">
        <v>107</v>
      </c>
      <c r="U63" s="11"/>
      <c r="V63" s="11"/>
      <c r="W63" s="11"/>
      <c r="X63" s="11"/>
      <c r="Y63" s="11" t="s">
        <v>108</v>
      </c>
      <c r="Z63" s="11">
        <v>12</v>
      </c>
      <c r="AA63" s="11" t="s">
        <v>109</v>
      </c>
      <c r="AB63" s="11"/>
      <c r="AC63" s="12"/>
      <c r="AD63" s="11"/>
      <c r="AE63" s="13" t="s">
        <v>381</v>
      </c>
      <c r="AF63" s="11" t="str">
        <f t="shared" si="0"/>
        <v>Not started</v>
      </c>
      <c r="AG63" s="11" t="s">
        <v>111</v>
      </c>
      <c r="AH63" s="11"/>
      <c r="AI63" s="11"/>
    </row>
    <row r="64" spans="1:35" ht="39.6" x14ac:dyDescent="0.3">
      <c r="A64" s="11" t="s">
        <v>385</v>
      </c>
      <c r="B64" s="11" t="s">
        <v>328</v>
      </c>
      <c r="C64" s="11" t="s">
        <v>329</v>
      </c>
      <c r="D64" s="11" t="s">
        <v>278</v>
      </c>
      <c r="E64" s="11" t="s">
        <v>279</v>
      </c>
      <c r="F64" s="11" t="s">
        <v>101</v>
      </c>
      <c r="G64" s="11" t="s">
        <v>386</v>
      </c>
      <c r="H64" s="11" t="s">
        <v>387</v>
      </c>
      <c r="I64" s="11" t="s">
        <v>340</v>
      </c>
      <c r="J64" s="11"/>
      <c r="K64" s="12"/>
      <c r="L64" s="12"/>
      <c r="M64" s="11" t="s">
        <v>105</v>
      </c>
      <c r="N64" s="11"/>
      <c r="O64" s="11" t="s">
        <v>388</v>
      </c>
      <c r="P64" s="11"/>
      <c r="Q64" s="11"/>
      <c r="R64" s="11"/>
      <c r="S64" s="11"/>
      <c r="T64" s="11" t="s">
        <v>107</v>
      </c>
      <c r="U64" s="11"/>
      <c r="V64" s="11"/>
      <c r="W64" s="11"/>
      <c r="X64" s="11"/>
      <c r="Y64" s="11" t="s">
        <v>108</v>
      </c>
      <c r="Z64" s="11">
        <v>12</v>
      </c>
      <c r="AA64" s="11" t="s">
        <v>109</v>
      </c>
      <c r="AB64" s="11"/>
      <c r="AC64" s="12"/>
      <c r="AD64" s="11" t="s">
        <v>283</v>
      </c>
      <c r="AE64" s="13" t="s">
        <v>284</v>
      </c>
      <c r="AF64" s="11" t="str">
        <f t="shared" si="0"/>
        <v>Not started</v>
      </c>
      <c r="AG64" s="11" t="s">
        <v>111</v>
      </c>
      <c r="AH64" s="11"/>
      <c r="AI64" s="11"/>
    </row>
    <row r="65" spans="1:35" ht="26.4" x14ac:dyDescent="0.3">
      <c r="A65" s="11" t="s">
        <v>389</v>
      </c>
      <c r="B65" s="11" t="s">
        <v>328</v>
      </c>
      <c r="C65" s="11" t="s">
        <v>329</v>
      </c>
      <c r="D65" s="11" t="s">
        <v>390</v>
      </c>
      <c r="E65" s="11" t="s">
        <v>203</v>
      </c>
      <c r="F65" s="11" t="s">
        <v>204</v>
      </c>
      <c r="G65" s="11" t="s">
        <v>391</v>
      </c>
      <c r="H65" s="11" t="s">
        <v>392</v>
      </c>
      <c r="I65" s="11" t="s">
        <v>223</v>
      </c>
      <c r="J65" s="11"/>
      <c r="K65" s="12"/>
      <c r="L65" s="12"/>
      <c r="M65" s="11" t="s">
        <v>105</v>
      </c>
      <c r="N65" s="11"/>
      <c r="O65" s="11" t="s">
        <v>187</v>
      </c>
      <c r="P65" s="11"/>
      <c r="Q65" s="11"/>
      <c r="R65" s="11"/>
      <c r="S65" s="11"/>
      <c r="T65" s="11" t="s">
        <v>107</v>
      </c>
      <c r="U65" s="11"/>
      <c r="V65" s="11"/>
      <c r="W65" s="11"/>
      <c r="X65" s="11"/>
      <c r="Y65" s="11" t="s">
        <v>108</v>
      </c>
      <c r="Z65" s="11">
        <v>3</v>
      </c>
      <c r="AA65" s="11" t="s">
        <v>109</v>
      </c>
      <c r="AB65" s="11"/>
      <c r="AC65" s="12"/>
      <c r="AD65" s="11"/>
      <c r="AE65" s="13" t="s">
        <v>393</v>
      </c>
      <c r="AF65" s="11" t="str">
        <f t="shared" si="0"/>
        <v>Not started</v>
      </c>
      <c r="AG65" s="11" t="s">
        <v>111</v>
      </c>
      <c r="AH65" s="11"/>
      <c r="AI65" s="11"/>
    </row>
    <row r="66" spans="1:35" ht="26.4" x14ac:dyDescent="0.3">
      <c r="A66" s="11" t="s">
        <v>394</v>
      </c>
      <c r="B66" s="11" t="s">
        <v>328</v>
      </c>
      <c r="C66" s="11" t="s">
        <v>329</v>
      </c>
      <c r="D66" s="11" t="s">
        <v>304</v>
      </c>
      <c r="E66" s="11" t="s">
        <v>279</v>
      </c>
      <c r="F66" s="11" t="s">
        <v>213</v>
      </c>
      <c r="G66" s="11" t="s">
        <v>395</v>
      </c>
      <c r="H66" s="11" t="s">
        <v>396</v>
      </c>
      <c r="I66" s="11" t="s">
        <v>181</v>
      </c>
      <c r="J66" s="11"/>
      <c r="K66" s="12"/>
      <c r="L66" s="12"/>
      <c r="M66" s="11" t="s">
        <v>105</v>
      </c>
      <c r="N66" s="11"/>
      <c r="O66" s="11"/>
      <c r="P66" s="11"/>
      <c r="Q66" s="11"/>
      <c r="R66" s="11"/>
      <c r="S66" s="11"/>
      <c r="T66" s="11" t="s">
        <v>107</v>
      </c>
      <c r="U66" s="11"/>
      <c r="V66" s="11"/>
      <c r="W66" s="11"/>
      <c r="X66" s="11"/>
      <c r="Y66" s="11" t="s">
        <v>108</v>
      </c>
      <c r="Z66" s="11">
        <v>12</v>
      </c>
      <c r="AA66" s="11" t="s">
        <v>109</v>
      </c>
      <c r="AB66" s="11"/>
      <c r="AC66" s="12"/>
      <c r="AD66" s="11" t="s">
        <v>397</v>
      </c>
      <c r="AE66" s="11"/>
      <c r="AF66" s="11" t="str">
        <f t="shared" si="0"/>
        <v>Not started</v>
      </c>
      <c r="AG66" s="11" t="s">
        <v>111</v>
      </c>
      <c r="AH66" s="11"/>
      <c r="AI66" s="11"/>
    </row>
    <row r="67" spans="1:35" ht="52.8" x14ac:dyDescent="0.3">
      <c r="A67" s="14" t="s">
        <v>398</v>
      </c>
      <c r="B67" s="14" t="s">
        <v>328</v>
      </c>
      <c r="C67" s="14" t="s">
        <v>399</v>
      </c>
      <c r="D67" s="14" t="s">
        <v>400</v>
      </c>
      <c r="E67" s="14" t="s">
        <v>203</v>
      </c>
      <c r="F67" s="14" t="s">
        <v>204</v>
      </c>
      <c r="G67" s="14" t="s">
        <v>401</v>
      </c>
      <c r="H67" s="14" t="s">
        <v>402</v>
      </c>
      <c r="I67" s="14" t="s">
        <v>298</v>
      </c>
      <c r="J67" s="14" t="s">
        <v>403</v>
      </c>
      <c r="K67" s="15">
        <v>45149</v>
      </c>
      <c r="L67" s="15"/>
      <c r="M67" s="14" t="s">
        <v>404</v>
      </c>
      <c r="N67" s="14"/>
      <c r="O67" s="14" t="s">
        <v>405</v>
      </c>
      <c r="P67" s="14"/>
      <c r="Q67" s="16" t="s">
        <v>406</v>
      </c>
      <c r="R67" s="16" t="s">
        <v>407</v>
      </c>
      <c r="S67" s="14" t="s">
        <v>141</v>
      </c>
      <c r="T67" s="14" t="s">
        <v>142</v>
      </c>
      <c r="U67" s="14" t="s">
        <v>408</v>
      </c>
      <c r="V67" s="14">
        <v>178</v>
      </c>
      <c r="W67" s="14">
        <v>21</v>
      </c>
      <c r="X67" s="14" t="s">
        <v>409</v>
      </c>
      <c r="Y67" s="14" t="s">
        <v>108</v>
      </c>
      <c r="Z67" s="14">
        <v>1</v>
      </c>
      <c r="AA67" s="14" t="s">
        <v>109</v>
      </c>
      <c r="AB67" s="14"/>
      <c r="AC67" s="15">
        <v>46296</v>
      </c>
      <c r="AD67" s="14" t="s">
        <v>410</v>
      </c>
      <c r="AE67" s="14"/>
      <c r="AF67" s="14" t="str">
        <f t="shared" si="0"/>
        <v>OK</v>
      </c>
      <c r="AG67" s="14" t="s">
        <v>411</v>
      </c>
      <c r="AH67" s="14" t="s">
        <v>412</v>
      </c>
      <c r="AI67" s="14"/>
    </row>
    <row r="68" spans="1:35" ht="66" x14ac:dyDescent="0.3">
      <c r="A68" s="11" t="s">
        <v>413</v>
      </c>
      <c r="B68" s="11" t="s">
        <v>328</v>
      </c>
      <c r="C68" s="11" t="s">
        <v>399</v>
      </c>
      <c r="D68" s="11" t="s">
        <v>400</v>
      </c>
      <c r="E68" s="11" t="s">
        <v>203</v>
      </c>
      <c r="F68" s="11" t="s">
        <v>204</v>
      </c>
      <c r="G68" s="11" t="s">
        <v>414</v>
      </c>
      <c r="H68" s="11" t="s">
        <v>415</v>
      </c>
      <c r="I68" s="11" t="s">
        <v>416</v>
      </c>
      <c r="J68" s="11"/>
      <c r="K68" s="12"/>
      <c r="L68" s="12"/>
      <c r="M68" s="11" t="s">
        <v>105</v>
      </c>
      <c r="N68" s="11"/>
      <c r="O68" s="11" t="s">
        <v>405</v>
      </c>
      <c r="P68" s="11"/>
      <c r="Q68" s="13" t="s">
        <v>417</v>
      </c>
      <c r="R68" s="13" t="s">
        <v>418</v>
      </c>
      <c r="S68" s="11" t="s">
        <v>141</v>
      </c>
      <c r="T68" s="11" t="s">
        <v>142</v>
      </c>
      <c r="U68" s="11" t="s">
        <v>419</v>
      </c>
      <c r="V68" s="11">
        <v>2435</v>
      </c>
      <c r="W68" s="11">
        <v>41</v>
      </c>
      <c r="X68" s="11" t="s">
        <v>420</v>
      </c>
      <c r="Y68" s="11" t="s">
        <v>108</v>
      </c>
      <c r="Z68" s="11">
        <v>1</v>
      </c>
      <c r="AA68" s="11" t="s">
        <v>109</v>
      </c>
      <c r="AB68" s="11"/>
      <c r="AC68" s="12"/>
      <c r="AD68" s="11" t="s">
        <v>421</v>
      </c>
      <c r="AE68" s="11"/>
      <c r="AF68" s="11" t="str">
        <f t="shared" si="0"/>
        <v>Verify status</v>
      </c>
      <c r="AG68" s="11" t="s">
        <v>111</v>
      </c>
      <c r="AH68" s="11"/>
      <c r="AI68" s="11"/>
    </row>
    <row r="69" spans="1:35" ht="39.6" x14ac:dyDescent="0.3">
      <c r="A69" s="11" t="s">
        <v>422</v>
      </c>
      <c r="B69" s="11" t="s">
        <v>328</v>
      </c>
      <c r="C69" s="11" t="s">
        <v>399</v>
      </c>
      <c r="D69" s="11" t="s">
        <v>423</v>
      </c>
      <c r="E69" s="11" t="s">
        <v>203</v>
      </c>
      <c r="F69" s="11" t="s">
        <v>204</v>
      </c>
      <c r="G69" s="11" t="s">
        <v>424</v>
      </c>
      <c r="H69" s="11" t="s">
        <v>425</v>
      </c>
      <c r="I69" s="11" t="s">
        <v>426</v>
      </c>
      <c r="J69" s="11"/>
      <c r="K69" s="12"/>
      <c r="L69" s="12"/>
      <c r="M69" s="11" t="s">
        <v>105</v>
      </c>
      <c r="N69" s="11"/>
      <c r="O69" s="11" t="s">
        <v>427</v>
      </c>
      <c r="P69" s="11"/>
      <c r="Q69" s="13" t="s">
        <v>428</v>
      </c>
      <c r="R69" s="13" t="s">
        <v>429</v>
      </c>
      <c r="S69" s="11" t="s">
        <v>141</v>
      </c>
      <c r="T69" s="11" t="s">
        <v>142</v>
      </c>
      <c r="U69" s="11" t="s">
        <v>430</v>
      </c>
      <c r="V69" s="11">
        <v>425</v>
      </c>
      <c r="W69" s="11">
        <v>8</v>
      </c>
      <c r="X69" s="11" t="s">
        <v>431</v>
      </c>
      <c r="Y69" s="11" t="s">
        <v>108</v>
      </c>
      <c r="Z69" s="11">
        <v>1</v>
      </c>
      <c r="AA69" s="11" t="s">
        <v>109</v>
      </c>
      <c r="AB69" s="11"/>
      <c r="AC69" s="12"/>
      <c r="AD69" s="11" t="s">
        <v>432</v>
      </c>
      <c r="AE69" s="11"/>
      <c r="AF69" s="11" t="str">
        <f t="shared" ref="AF69:AF132" si="1">IF($H69="","",IF($T69="To find","Not started",IF(($C69="")+($D69="")+($E69="")+($G69="")+($I69="")+($M69="")+($O69="")+($S69="")&gt;0,"Missing basic details",IF(AND($T69="Downloaded",($R69="")+($U69="")+($V69="")+(($W69="")*(RIGHT(LOWER($U69),4)=".pdf"))&gt;0),"Add file details",IF(AND($T69="Downloaded",LEN($X69)&lt;&gt;64),"Check SHA-256",IF(AND($Q69="",$R69=""),"Add a URL",IF($S69="No","Not official - replace",IF($M69="Not verified","Verify status","OK"))))))))</f>
        <v>Verify status</v>
      </c>
      <c r="AG69" s="11" t="s">
        <v>111</v>
      </c>
      <c r="AH69" s="11"/>
      <c r="AI69" s="11"/>
    </row>
    <row r="70" spans="1:35" ht="26.4" x14ac:dyDescent="0.3">
      <c r="A70" s="11" t="s">
        <v>433</v>
      </c>
      <c r="B70" s="11" t="s">
        <v>328</v>
      </c>
      <c r="C70" s="11" t="s">
        <v>399</v>
      </c>
      <c r="D70" s="11" t="s">
        <v>423</v>
      </c>
      <c r="E70" s="11" t="s">
        <v>203</v>
      </c>
      <c r="F70" s="11" t="s">
        <v>213</v>
      </c>
      <c r="G70" s="11" t="s">
        <v>434</v>
      </c>
      <c r="H70" s="11" t="s">
        <v>435</v>
      </c>
      <c r="I70" s="11" t="s">
        <v>181</v>
      </c>
      <c r="J70" s="11"/>
      <c r="K70" s="12"/>
      <c r="L70" s="12"/>
      <c r="M70" s="11" t="s">
        <v>105</v>
      </c>
      <c r="N70" s="11"/>
      <c r="O70" s="11"/>
      <c r="P70" s="11"/>
      <c r="Q70" s="11"/>
      <c r="R70" s="11"/>
      <c r="S70" s="11"/>
      <c r="T70" s="11" t="s">
        <v>107</v>
      </c>
      <c r="U70" s="11"/>
      <c r="V70" s="11"/>
      <c r="W70" s="11"/>
      <c r="X70" s="11"/>
      <c r="Y70" s="11" t="s">
        <v>108</v>
      </c>
      <c r="Z70" s="11">
        <v>1</v>
      </c>
      <c r="AA70" s="11" t="s">
        <v>109</v>
      </c>
      <c r="AB70" s="11"/>
      <c r="AC70" s="12"/>
      <c r="AD70" s="11" t="s">
        <v>436</v>
      </c>
      <c r="AE70" s="13" t="s">
        <v>437</v>
      </c>
      <c r="AF70" s="11" t="str">
        <f t="shared" si="1"/>
        <v>Not started</v>
      </c>
      <c r="AG70" s="11" t="s">
        <v>111</v>
      </c>
      <c r="AH70" s="11"/>
      <c r="AI70" s="11"/>
    </row>
    <row r="71" spans="1:35" ht="26.4" x14ac:dyDescent="0.3">
      <c r="A71" s="11" t="s">
        <v>438</v>
      </c>
      <c r="B71" s="11" t="s">
        <v>328</v>
      </c>
      <c r="C71" s="11" t="s">
        <v>399</v>
      </c>
      <c r="D71" s="11" t="s">
        <v>295</v>
      </c>
      <c r="E71" s="11" t="s">
        <v>203</v>
      </c>
      <c r="F71" s="11" t="s">
        <v>204</v>
      </c>
      <c r="G71" s="11" t="s">
        <v>439</v>
      </c>
      <c r="H71" s="11" t="s">
        <v>440</v>
      </c>
      <c r="I71" s="11" t="s">
        <v>298</v>
      </c>
      <c r="J71" s="11"/>
      <c r="K71" s="12"/>
      <c r="L71" s="12"/>
      <c r="M71" s="11" t="s">
        <v>105</v>
      </c>
      <c r="N71" s="11"/>
      <c r="O71" s="11"/>
      <c r="P71" s="11"/>
      <c r="Q71" s="11"/>
      <c r="R71" s="11"/>
      <c r="S71" s="11"/>
      <c r="T71" s="11" t="s">
        <v>107</v>
      </c>
      <c r="U71" s="11"/>
      <c r="V71" s="11"/>
      <c r="W71" s="11"/>
      <c r="X71" s="11"/>
      <c r="Y71" s="11" t="s">
        <v>108</v>
      </c>
      <c r="Z71" s="11">
        <v>12</v>
      </c>
      <c r="AA71" s="11" t="s">
        <v>109</v>
      </c>
      <c r="AB71" s="11"/>
      <c r="AC71" s="12"/>
      <c r="AD71" s="11" t="s">
        <v>441</v>
      </c>
      <c r="AE71" s="11"/>
      <c r="AF71" s="11" t="str">
        <f t="shared" si="1"/>
        <v>Not started</v>
      </c>
      <c r="AG71" s="11" t="s">
        <v>111</v>
      </c>
      <c r="AH71" s="11"/>
      <c r="AI71" s="11"/>
    </row>
    <row r="72" spans="1:35" ht="26.4" x14ac:dyDescent="0.3">
      <c r="A72" s="11" t="s">
        <v>442</v>
      </c>
      <c r="B72" s="11" t="s">
        <v>328</v>
      </c>
      <c r="C72" s="11" t="s">
        <v>399</v>
      </c>
      <c r="D72" s="11" t="s">
        <v>400</v>
      </c>
      <c r="E72" s="11" t="s">
        <v>279</v>
      </c>
      <c r="F72" s="11" t="s">
        <v>213</v>
      </c>
      <c r="G72" s="11" t="s">
        <v>443</v>
      </c>
      <c r="H72" s="11" t="s">
        <v>444</v>
      </c>
      <c r="I72" s="11" t="s">
        <v>181</v>
      </c>
      <c r="J72" s="11"/>
      <c r="K72" s="12"/>
      <c r="L72" s="12"/>
      <c r="M72" s="11" t="s">
        <v>105</v>
      </c>
      <c r="N72" s="11"/>
      <c r="O72" s="11"/>
      <c r="P72" s="11"/>
      <c r="Q72" s="11"/>
      <c r="R72" s="11"/>
      <c r="S72" s="11"/>
      <c r="T72" s="11" t="s">
        <v>107</v>
      </c>
      <c r="U72" s="11"/>
      <c r="V72" s="11"/>
      <c r="W72" s="11"/>
      <c r="X72" s="11"/>
      <c r="Y72" s="11" t="s">
        <v>108</v>
      </c>
      <c r="Z72" s="11">
        <v>12</v>
      </c>
      <c r="AA72" s="11" t="s">
        <v>109</v>
      </c>
      <c r="AB72" s="11"/>
      <c r="AC72" s="12"/>
      <c r="AD72" s="11" t="s">
        <v>445</v>
      </c>
      <c r="AE72" s="13" t="s">
        <v>406</v>
      </c>
      <c r="AF72" s="11" t="str">
        <f t="shared" si="1"/>
        <v>Not started</v>
      </c>
      <c r="AG72" s="11" t="s">
        <v>111</v>
      </c>
      <c r="AH72" s="11"/>
      <c r="AI72" s="11"/>
    </row>
    <row r="73" spans="1:35" ht="39.6" x14ac:dyDescent="0.3">
      <c r="A73" s="11" t="s">
        <v>446</v>
      </c>
      <c r="B73" s="11" t="s">
        <v>328</v>
      </c>
      <c r="C73" s="11" t="s">
        <v>447</v>
      </c>
      <c r="D73" s="11" t="s">
        <v>448</v>
      </c>
      <c r="E73" s="11" t="s">
        <v>449</v>
      </c>
      <c r="F73" s="11" t="s">
        <v>213</v>
      </c>
      <c r="G73" s="11" t="s">
        <v>450</v>
      </c>
      <c r="H73" s="11" t="s">
        <v>451</v>
      </c>
      <c r="I73" s="11" t="s">
        <v>181</v>
      </c>
      <c r="J73" s="11"/>
      <c r="K73" s="12"/>
      <c r="L73" s="12"/>
      <c r="M73" s="11" t="s">
        <v>105</v>
      </c>
      <c r="N73" s="11"/>
      <c r="O73" s="11" t="s">
        <v>452</v>
      </c>
      <c r="P73" s="11"/>
      <c r="Q73" s="11"/>
      <c r="R73" s="11"/>
      <c r="S73" s="11"/>
      <c r="T73" s="11" t="s">
        <v>107</v>
      </c>
      <c r="U73" s="11"/>
      <c r="V73" s="11"/>
      <c r="W73" s="11"/>
      <c r="X73" s="11"/>
      <c r="Y73" s="11" t="s">
        <v>108</v>
      </c>
      <c r="Z73" s="11">
        <v>3</v>
      </c>
      <c r="AA73" s="11" t="s">
        <v>109</v>
      </c>
      <c r="AB73" s="11"/>
      <c r="AC73" s="12"/>
      <c r="AD73" s="11" t="s">
        <v>453</v>
      </c>
      <c r="AE73" s="13" t="s">
        <v>454</v>
      </c>
      <c r="AF73" s="11" t="str">
        <f t="shared" si="1"/>
        <v>Not started</v>
      </c>
      <c r="AG73" s="11" t="s">
        <v>111</v>
      </c>
      <c r="AH73" s="11"/>
      <c r="AI73" s="11"/>
    </row>
    <row r="74" spans="1:35" ht="39.6" x14ac:dyDescent="0.3">
      <c r="A74" s="11" t="s">
        <v>455</v>
      </c>
      <c r="B74" s="11" t="s">
        <v>328</v>
      </c>
      <c r="C74" s="11" t="s">
        <v>447</v>
      </c>
      <c r="D74" s="11" t="s">
        <v>448</v>
      </c>
      <c r="E74" s="11" t="s">
        <v>449</v>
      </c>
      <c r="F74" s="11" t="s">
        <v>213</v>
      </c>
      <c r="G74" s="11" t="s">
        <v>456</v>
      </c>
      <c r="H74" s="11" t="s">
        <v>457</v>
      </c>
      <c r="I74" s="11" t="s">
        <v>340</v>
      </c>
      <c r="J74" s="11"/>
      <c r="K74" s="12"/>
      <c r="L74" s="12"/>
      <c r="M74" s="11" t="s">
        <v>105</v>
      </c>
      <c r="N74" s="11"/>
      <c r="O74" s="11" t="s">
        <v>458</v>
      </c>
      <c r="P74" s="11"/>
      <c r="Q74" s="11"/>
      <c r="R74" s="11"/>
      <c r="S74" s="11"/>
      <c r="T74" s="11" t="s">
        <v>107</v>
      </c>
      <c r="U74" s="11"/>
      <c r="V74" s="11"/>
      <c r="W74" s="11"/>
      <c r="X74" s="11"/>
      <c r="Y74" s="11" t="s">
        <v>108</v>
      </c>
      <c r="Z74" s="11">
        <v>3</v>
      </c>
      <c r="AA74" s="11" t="s">
        <v>109</v>
      </c>
      <c r="AB74" s="11"/>
      <c r="AC74" s="12"/>
      <c r="AD74" s="11" t="s">
        <v>453</v>
      </c>
      <c r="AE74" s="13" t="s">
        <v>459</v>
      </c>
      <c r="AF74" s="11" t="str">
        <f t="shared" si="1"/>
        <v>Not started</v>
      </c>
      <c r="AG74" s="11" t="s">
        <v>111</v>
      </c>
      <c r="AH74" s="11"/>
      <c r="AI74" s="11"/>
    </row>
    <row r="75" spans="1:35" ht="39.6" x14ac:dyDescent="0.3">
      <c r="A75" s="11" t="s">
        <v>460</v>
      </c>
      <c r="B75" s="11" t="s">
        <v>328</v>
      </c>
      <c r="C75" s="11" t="s">
        <v>447</v>
      </c>
      <c r="D75" s="11" t="s">
        <v>448</v>
      </c>
      <c r="E75" s="11" t="s">
        <v>449</v>
      </c>
      <c r="F75" s="11" t="s">
        <v>213</v>
      </c>
      <c r="G75" s="11" t="s">
        <v>461</v>
      </c>
      <c r="H75" s="11" t="s">
        <v>462</v>
      </c>
      <c r="I75" s="11" t="s">
        <v>340</v>
      </c>
      <c r="J75" s="11"/>
      <c r="K75" s="12"/>
      <c r="L75" s="12"/>
      <c r="M75" s="11" t="s">
        <v>105</v>
      </c>
      <c r="N75" s="11"/>
      <c r="O75" s="11" t="s">
        <v>463</v>
      </c>
      <c r="P75" s="11"/>
      <c r="Q75" s="11"/>
      <c r="R75" s="11"/>
      <c r="S75" s="11"/>
      <c r="T75" s="11" t="s">
        <v>107</v>
      </c>
      <c r="U75" s="11"/>
      <c r="V75" s="11"/>
      <c r="W75" s="11"/>
      <c r="X75" s="11"/>
      <c r="Y75" s="11" t="s">
        <v>108</v>
      </c>
      <c r="Z75" s="11">
        <v>3</v>
      </c>
      <c r="AA75" s="11" t="s">
        <v>109</v>
      </c>
      <c r="AB75" s="11"/>
      <c r="AC75" s="12"/>
      <c r="AD75" s="11" t="s">
        <v>453</v>
      </c>
      <c r="AE75" s="13" t="s">
        <v>454</v>
      </c>
      <c r="AF75" s="11" t="str">
        <f t="shared" si="1"/>
        <v>Not started</v>
      </c>
      <c r="AG75" s="11" t="s">
        <v>111</v>
      </c>
      <c r="AH75" s="11"/>
      <c r="AI75" s="11"/>
    </row>
    <row r="76" spans="1:35" ht="39.6" x14ac:dyDescent="0.3">
      <c r="A76" s="11" t="s">
        <v>464</v>
      </c>
      <c r="B76" s="11" t="s">
        <v>328</v>
      </c>
      <c r="C76" s="11" t="s">
        <v>447</v>
      </c>
      <c r="D76" s="11" t="s">
        <v>465</v>
      </c>
      <c r="E76" s="11" t="s">
        <v>449</v>
      </c>
      <c r="F76" s="11" t="s">
        <v>213</v>
      </c>
      <c r="G76" s="11" t="s">
        <v>466</v>
      </c>
      <c r="H76" s="11" t="s">
        <v>467</v>
      </c>
      <c r="I76" s="11" t="s">
        <v>340</v>
      </c>
      <c r="J76" s="11"/>
      <c r="K76" s="12"/>
      <c r="L76" s="12"/>
      <c r="M76" s="11" t="s">
        <v>105</v>
      </c>
      <c r="N76" s="11"/>
      <c r="O76" s="11" t="s">
        <v>468</v>
      </c>
      <c r="P76" s="11"/>
      <c r="Q76" s="13" t="s">
        <v>469</v>
      </c>
      <c r="R76" s="13" t="s">
        <v>470</v>
      </c>
      <c r="S76" s="11" t="s">
        <v>141</v>
      </c>
      <c r="T76" s="11" t="s">
        <v>142</v>
      </c>
      <c r="U76" s="11" t="s">
        <v>471</v>
      </c>
      <c r="V76" s="11">
        <v>1901</v>
      </c>
      <c r="W76" s="11">
        <v>48</v>
      </c>
      <c r="X76" s="11" t="s">
        <v>472</v>
      </c>
      <c r="Y76" s="11" t="s">
        <v>108</v>
      </c>
      <c r="Z76" s="11">
        <v>3</v>
      </c>
      <c r="AA76" s="11" t="s">
        <v>109</v>
      </c>
      <c r="AB76" s="11"/>
      <c r="AC76" s="12"/>
      <c r="AD76" s="11" t="s">
        <v>473</v>
      </c>
      <c r="AE76" s="11"/>
      <c r="AF76" s="11" t="str">
        <f t="shared" si="1"/>
        <v>Verify status</v>
      </c>
      <c r="AG76" s="11" t="s">
        <v>111</v>
      </c>
      <c r="AH76" s="11"/>
      <c r="AI76" s="11"/>
    </row>
    <row r="77" spans="1:35" ht="39.6" x14ac:dyDescent="0.3">
      <c r="A77" s="11" t="s">
        <v>474</v>
      </c>
      <c r="B77" s="11" t="s">
        <v>328</v>
      </c>
      <c r="C77" s="11" t="s">
        <v>447</v>
      </c>
      <c r="D77" s="11" t="s">
        <v>465</v>
      </c>
      <c r="E77" s="11" t="s">
        <v>449</v>
      </c>
      <c r="F77" s="11" t="s">
        <v>213</v>
      </c>
      <c r="G77" s="11" t="s">
        <v>475</v>
      </c>
      <c r="H77" s="11" t="s">
        <v>476</v>
      </c>
      <c r="I77" s="11" t="s">
        <v>340</v>
      </c>
      <c r="J77" s="11"/>
      <c r="K77" s="12"/>
      <c r="L77" s="12"/>
      <c r="M77" s="11" t="s">
        <v>105</v>
      </c>
      <c r="N77" s="11"/>
      <c r="O77" s="11" t="s">
        <v>477</v>
      </c>
      <c r="P77" s="11"/>
      <c r="Q77" s="13" t="s">
        <v>469</v>
      </c>
      <c r="R77" s="13" t="s">
        <v>478</v>
      </c>
      <c r="S77" s="11" t="s">
        <v>141</v>
      </c>
      <c r="T77" s="11" t="s">
        <v>142</v>
      </c>
      <c r="U77" s="11" t="s">
        <v>479</v>
      </c>
      <c r="V77" s="11">
        <v>1147</v>
      </c>
      <c r="W77" s="11">
        <v>64</v>
      </c>
      <c r="X77" s="11" t="s">
        <v>480</v>
      </c>
      <c r="Y77" s="11" t="s">
        <v>108</v>
      </c>
      <c r="Z77" s="11">
        <v>3</v>
      </c>
      <c r="AA77" s="11" t="s">
        <v>109</v>
      </c>
      <c r="AB77" s="11"/>
      <c r="AC77" s="12"/>
      <c r="AD77" s="11" t="s">
        <v>473</v>
      </c>
      <c r="AE77" s="11"/>
      <c r="AF77" s="11" t="str">
        <f t="shared" si="1"/>
        <v>Verify status</v>
      </c>
      <c r="AG77" s="11" t="s">
        <v>111</v>
      </c>
      <c r="AH77" s="11"/>
      <c r="AI77" s="11"/>
    </row>
    <row r="78" spans="1:35" ht="39.6" x14ac:dyDescent="0.3">
      <c r="A78" s="11" t="s">
        <v>481</v>
      </c>
      <c r="B78" s="11" t="s">
        <v>328</v>
      </c>
      <c r="C78" s="11" t="s">
        <v>447</v>
      </c>
      <c r="D78" s="11" t="s">
        <v>465</v>
      </c>
      <c r="E78" s="11" t="s">
        <v>449</v>
      </c>
      <c r="F78" s="11" t="s">
        <v>213</v>
      </c>
      <c r="G78" s="11" t="s">
        <v>482</v>
      </c>
      <c r="H78" s="11" t="s">
        <v>483</v>
      </c>
      <c r="I78" s="11" t="s">
        <v>181</v>
      </c>
      <c r="J78" s="11"/>
      <c r="K78" s="12"/>
      <c r="L78" s="12"/>
      <c r="M78" s="11" t="s">
        <v>105</v>
      </c>
      <c r="N78" s="11"/>
      <c r="O78" s="11"/>
      <c r="P78" s="11"/>
      <c r="Q78" s="11"/>
      <c r="R78" s="11"/>
      <c r="S78" s="11"/>
      <c r="T78" s="11" t="s">
        <v>107</v>
      </c>
      <c r="U78" s="11"/>
      <c r="V78" s="11"/>
      <c r="W78" s="11"/>
      <c r="X78" s="11"/>
      <c r="Y78" s="11" t="s">
        <v>108</v>
      </c>
      <c r="Z78" s="11">
        <v>3</v>
      </c>
      <c r="AA78" s="11" t="s">
        <v>109</v>
      </c>
      <c r="AB78" s="11"/>
      <c r="AC78" s="12"/>
      <c r="AD78" s="11"/>
      <c r="AE78" s="13" t="s">
        <v>469</v>
      </c>
      <c r="AF78" s="11" t="str">
        <f t="shared" si="1"/>
        <v>Not started</v>
      </c>
      <c r="AG78" s="11" t="s">
        <v>111</v>
      </c>
      <c r="AH78" s="11"/>
      <c r="AI78" s="11"/>
    </row>
    <row r="79" spans="1:35" ht="26.4" x14ac:dyDescent="0.3">
      <c r="A79" s="11" t="s">
        <v>484</v>
      </c>
      <c r="B79" s="11" t="s">
        <v>328</v>
      </c>
      <c r="C79" s="11" t="s">
        <v>447</v>
      </c>
      <c r="D79" s="11" t="s">
        <v>485</v>
      </c>
      <c r="E79" s="11" t="s">
        <v>449</v>
      </c>
      <c r="F79" s="11" t="s">
        <v>213</v>
      </c>
      <c r="G79" s="11" t="s">
        <v>486</v>
      </c>
      <c r="H79" s="11" t="s">
        <v>487</v>
      </c>
      <c r="I79" s="11" t="s">
        <v>488</v>
      </c>
      <c r="J79" s="11"/>
      <c r="K79" s="12"/>
      <c r="L79" s="12"/>
      <c r="M79" s="11" t="s">
        <v>105</v>
      </c>
      <c r="N79" s="11"/>
      <c r="O79" s="11"/>
      <c r="P79" s="11"/>
      <c r="Q79" s="13" t="s">
        <v>489</v>
      </c>
      <c r="R79" s="11"/>
      <c r="S79" s="11" t="s">
        <v>141</v>
      </c>
      <c r="T79" s="11" t="s">
        <v>490</v>
      </c>
      <c r="U79" s="11"/>
      <c r="V79" s="11"/>
      <c r="W79" s="11"/>
      <c r="X79" s="11"/>
      <c r="Y79" s="11" t="s">
        <v>141</v>
      </c>
      <c r="Z79" s="11">
        <v>12</v>
      </c>
      <c r="AA79" s="11" t="s">
        <v>491</v>
      </c>
      <c r="AB79" s="11"/>
      <c r="AC79" s="12"/>
      <c r="AD79" s="11" t="s">
        <v>492</v>
      </c>
      <c r="AE79" s="11"/>
      <c r="AF79" s="11" t="str">
        <f t="shared" si="1"/>
        <v>Missing basic details</v>
      </c>
      <c r="AG79" s="11" t="s">
        <v>111</v>
      </c>
      <c r="AH79" s="11"/>
      <c r="AI79" s="11"/>
    </row>
    <row r="80" spans="1:35" ht="26.4" x14ac:dyDescent="0.3">
      <c r="A80" s="11" t="s">
        <v>493</v>
      </c>
      <c r="B80" s="11" t="s">
        <v>328</v>
      </c>
      <c r="C80" s="11" t="s">
        <v>447</v>
      </c>
      <c r="D80" s="11" t="s">
        <v>485</v>
      </c>
      <c r="E80" s="11" t="s">
        <v>449</v>
      </c>
      <c r="F80" s="11" t="s">
        <v>213</v>
      </c>
      <c r="G80" s="11" t="s">
        <v>494</v>
      </c>
      <c r="H80" s="11" t="s">
        <v>495</v>
      </c>
      <c r="I80" s="11" t="s">
        <v>488</v>
      </c>
      <c r="J80" s="11"/>
      <c r="K80" s="12"/>
      <c r="L80" s="12"/>
      <c r="M80" s="11" t="s">
        <v>105</v>
      </c>
      <c r="N80" s="11"/>
      <c r="O80" s="11"/>
      <c r="P80" s="11"/>
      <c r="Q80" s="13" t="s">
        <v>496</v>
      </c>
      <c r="R80" s="11"/>
      <c r="S80" s="11" t="s">
        <v>141</v>
      </c>
      <c r="T80" s="11" t="s">
        <v>490</v>
      </c>
      <c r="U80" s="11"/>
      <c r="V80" s="11"/>
      <c r="W80" s="11"/>
      <c r="X80" s="11"/>
      <c r="Y80" s="11" t="s">
        <v>141</v>
      </c>
      <c r="Z80" s="11">
        <v>12</v>
      </c>
      <c r="AA80" s="11" t="s">
        <v>491</v>
      </c>
      <c r="AB80" s="11"/>
      <c r="AC80" s="12"/>
      <c r="AD80" s="11" t="s">
        <v>492</v>
      </c>
      <c r="AE80" s="11"/>
      <c r="AF80" s="11" t="str">
        <f t="shared" si="1"/>
        <v>Missing basic details</v>
      </c>
      <c r="AG80" s="11" t="s">
        <v>111</v>
      </c>
      <c r="AH80" s="11"/>
      <c r="AI80" s="11"/>
    </row>
    <row r="81" spans="1:35" ht="26.4" x14ac:dyDescent="0.3">
      <c r="A81" s="11" t="s">
        <v>497</v>
      </c>
      <c r="B81" s="11" t="s">
        <v>328</v>
      </c>
      <c r="C81" s="11" t="s">
        <v>447</v>
      </c>
      <c r="D81" s="11" t="s">
        <v>485</v>
      </c>
      <c r="E81" s="11" t="s">
        <v>449</v>
      </c>
      <c r="F81" s="11" t="s">
        <v>213</v>
      </c>
      <c r="G81" s="11" t="s">
        <v>498</v>
      </c>
      <c r="H81" s="11" t="s">
        <v>499</v>
      </c>
      <c r="I81" s="11" t="s">
        <v>488</v>
      </c>
      <c r="J81" s="11"/>
      <c r="K81" s="12"/>
      <c r="L81" s="12"/>
      <c r="M81" s="11" t="s">
        <v>105</v>
      </c>
      <c r="N81" s="11"/>
      <c r="O81" s="11"/>
      <c r="P81" s="11"/>
      <c r="Q81" s="11"/>
      <c r="R81" s="11"/>
      <c r="S81" s="11"/>
      <c r="T81" s="11" t="s">
        <v>107</v>
      </c>
      <c r="U81" s="11"/>
      <c r="V81" s="11"/>
      <c r="W81" s="11"/>
      <c r="X81" s="11"/>
      <c r="Y81" s="11" t="s">
        <v>141</v>
      </c>
      <c r="Z81" s="11">
        <v>12</v>
      </c>
      <c r="AA81" s="11" t="s">
        <v>491</v>
      </c>
      <c r="AB81" s="11"/>
      <c r="AC81" s="12"/>
      <c r="AD81" s="11" t="s">
        <v>500</v>
      </c>
      <c r="AE81" s="13" t="s">
        <v>501</v>
      </c>
      <c r="AF81" s="11" t="str">
        <f t="shared" si="1"/>
        <v>Not started</v>
      </c>
      <c r="AG81" s="11" t="s">
        <v>111</v>
      </c>
      <c r="AH81" s="11"/>
      <c r="AI81" s="11"/>
    </row>
    <row r="82" spans="1:35" ht="26.4" x14ac:dyDescent="0.3">
      <c r="A82" s="11" t="s">
        <v>502</v>
      </c>
      <c r="B82" s="11" t="s">
        <v>328</v>
      </c>
      <c r="C82" s="11" t="s">
        <v>447</v>
      </c>
      <c r="D82" s="11" t="s">
        <v>485</v>
      </c>
      <c r="E82" s="11" t="s">
        <v>449</v>
      </c>
      <c r="F82" s="11" t="s">
        <v>213</v>
      </c>
      <c r="G82" s="11" t="s">
        <v>503</v>
      </c>
      <c r="H82" s="11" t="s">
        <v>504</v>
      </c>
      <c r="I82" s="11" t="s">
        <v>488</v>
      </c>
      <c r="J82" s="11"/>
      <c r="K82" s="12"/>
      <c r="L82" s="12"/>
      <c r="M82" s="11" t="s">
        <v>105</v>
      </c>
      <c r="N82" s="11"/>
      <c r="O82" s="11"/>
      <c r="P82" s="11"/>
      <c r="Q82" s="11"/>
      <c r="R82" s="11"/>
      <c r="S82" s="11"/>
      <c r="T82" s="11" t="s">
        <v>107</v>
      </c>
      <c r="U82" s="11"/>
      <c r="V82" s="11"/>
      <c r="W82" s="11"/>
      <c r="X82" s="11"/>
      <c r="Y82" s="11" t="s">
        <v>141</v>
      </c>
      <c r="Z82" s="11">
        <v>12</v>
      </c>
      <c r="AA82" s="11" t="s">
        <v>491</v>
      </c>
      <c r="AB82" s="11"/>
      <c r="AC82" s="12"/>
      <c r="AD82" s="11" t="s">
        <v>500</v>
      </c>
      <c r="AE82" s="13" t="s">
        <v>501</v>
      </c>
      <c r="AF82" s="11" t="str">
        <f t="shared" si="1"/>
        <v>Not started</v>
      </c>
      <c r="AG82" s="11" t="s">
        <v>111</v>
      </c>
      <c r="AH82" s="11"/>
      <c r="AI82" s="11"/>
    </row>
    <row r="83" spans="1:35" ht="26.4" x14ac:dyDescent="0.3">
      <c r="A83" s="11" t="s">
        <v>505</v>
      </c>
      <c r="B83" s="11" t="s">
        <v>328</v>
      </c>
      <c r="C83" s="11" t="s">
        <v>447</v>
      </c>
      <c r="D83" s="11" t="s">
        <v>485</v>
      </c>
      <c r="E83" s="11" t="s">
        <v>449</v>
      </c>
      <c r="F83" s="11" t="s">
        <v>213</v>
      </c>
      <c r="G83" s="11" t="s">
        <v>506</v>
      </c>
      <c r="H83" s="11" t="s">
        <v>507</v>
      </c>
      <c r="I83" s="11" t="s">
        <v>488</v>
      </c>
      <c r="J83" s="11"/>
      <c r="K83" s="12"/>
      <c r="L83" s="12"/>
      <c r="M83" s="11" t="s">
        <v>105</v>
      </c>
      <c r="N83" s="11"/>
      <c r="O83" s="11"/>
      <c r="P83" s="11"/>
      <c r="Q83" s="11"/>
      <c r="R83" s="11"/>
      <c r="S83" s="11"/>
      <c r="T83" s="11" t="s">
        <v>107</v>
      </c>
      <c r="U83" s="11"/>
      <c r="V83" s="11"/>
      <c r="W83" s="11"/>
      <c r="X83" s="11"/>
      <c r="Y83" s="11" t="s">
        <v>141</v>
      </c>
      <c r="Z83" s="11">
        <v>12</v>
      </c>
      <c r="AA83" s="11" t="s">
        <v>491</v>
      </c>
      <c r="AB83" s="11"/>
      <c r="AC83" s="12"/>
      <c r="AD83" s="11" t="s">
        <v>500</v>
      </c>
      <c r="AE83" s="13" t="s">
        <v>501</v>
      </c>
      <c r="AF83" s="11" t="str">
        <f t="shared" si="1"/>
        <v>Not started</v>
      </c>
      <c r="AG83" s="11" t="s">
        <v>111</v>
      </c>
      <c r="AH83" s="11"/>
      <c r="AI83" s="11"/>
    </row>
    <row r="84" spans="1:35" ht="26.4" x14ac:dyDescent="0.3">
      <c r="A84" s="11" t="s">
        <v>508</v>
      </c>
      <c r="B84" s="11" t="s">
        <v>328</v>
      </c>
      <c r="C84" s="11" t="s">
        <v>447</v>
      </c>
      <c r="D84" s="11" t="s">
        <v>485</v>
      </c>
      <c r="E84" s="11" t="s">
        <v>449</v>
      </c>
      <c r="F84" s="11" t="s">
        <v>213</v>
      </c>
      <c r="G84" s="11" t="s">
        <v>509</v>
      </c>
      <c r="H84" s="11" t="s">
        <v>510</v>
      </c>
      <c r="I84" s="11" t="s">
        <v>488</v>
      </c>
      <c r="J84" s="11"/>
      <c r="K84" s="12"/>
      <c r="L84" s="12"/>
      <c r="M84" s="11" t="s">
        <v>105</v>
      </c>
      <c r="N84" s="11"/>
      <c r="O84" s="11"/>
      <c r="P84" s="11"/>
      <c r="Q84" s="11"/>
      <c r="R84" s="11"/>
      <c r="S84" s="11"/>
      <c r="T84" s="11" t="s">
        <v>107</v>
      </c>
      <c r="U84" s="11"/>
      <c r="V84" s="11"/>
      <c r="W84" s="11"/>
      <c r="X84" s="11"/>
      <c r="Y84" s="11" t="s">
        <v>141</v>
      </c>
      <c r="Z84" s="11">
        <v>12</v>
      </c>
      <c r="AA84" s="11" t="s">
        <v>491</v>
      </c>
      <c r="AB84" s="11"/>
      <c r="AC84" s="12"/>
      <c r="AD84" s="11" t="s">
        <v>500</v>
      </c>
      <c r="AE84" s="13" t="s">
        <v>501</v>
      </c>
      <c r="AF84" s="11" t="str">
        <f t="shared" si="1"/>
        <v>Not started</v>
      </c>
      <c r="AG84" s="11" t="s">
        <v>111</v>
      </c>
      <c r="AH84" s="11"/>
      <c r="AI84" s="11"/>
    </row>
    <row r="85" spans="1:35" ht="52.8" x14ac:dyDescent="0.3">
      <c r="A85" s="11" t="s">
        <v>511</v>
      </c>
      <c r="B85" s="11" t="s">
        <v>328</v>
      </c>
      <c r="C85" s="11" t="s">
        <v>447</v>
      </c>
      <c r="D85" s="11" t="s">
        <v>512</v>
      </c>
      <c r="E85" s="11" t="s">
        <v>279</v>
      </c>
      <c r="F85" s="11" t="s">
        <v>213</v>
      </c>
      <c r="G85" s="11" t="s">
        <v>513</v>
      </c>
      <c r="H85" s="11" t="s">
        <v>514</v>
      </c>
      <c r="I85" s="11" t="s">
        <v>282</v>
      </c>
      <c r="J85" s="11"/>
      <c r="K85" s="12"/>
      <c r="L85" s="12"/>
      <c r="M85" s="11" t="s">
        <v>105</v>
      </c>
      <c r="N85" s="11"/>
      <c r="O85" s="11" t="s">
        <v>515</v>
      </c>
      <c r="P85" s="11"/>
      <c r="Q85" s="11"/>
      <c r="R85" s="11"/>
      <c r="S85" s="11"/>
      <c r="T85" s="11" t="s">
        <v>107</v>
      </c>
      <c r="U85" s="11"/>
      <c r="V85" s="11"/>
      <c r="W85" s="11"/>
      <c r="X85" s="11"/>
      <c r="Y85" s="11" t="s">
        <v>108</v>
      </c>
      <c r="Z85" s="11">
        <v>3</v>
      </c>
      <c r="AA85" s="11" t="s">
        <v>109</v>
      </c>
      <c r="AB85" s="11"/>
      <c r="AC85" s="12"/>
      <c r="AD85" s="11" t="s">
        <v>516</v>
      </c>
      <c r="AE85" s="13" t="s">
        <v>517</v>
      </c>
      <c r="AF85" s="11" t="str">
        <f t="shared" si="1"/>
        <v>Not started</v>
      </c>
      <c r="AG85" s="11" t="s">
        <v>111</v>
      </c>
      <c r="AH85" s="11"/>
      <c r="AI85" s="11"/>
    </row>
    <row r="86" spans="1:35" ht="26.4" x14ac:dyDescent="0.3">
      <c r="A86" s="11" t="s">
        <v>518</v>
      </c>
      <c r="B86" s="11" t="s">
        <v>328</v>
      </c>
      <c r="C86" s="11" t="s">
        <v>519</v>
      </c>
      <c r="D86" s="11" t="s">
        <v>183</v>
      </c>
      <c r="E86" s="11" t="s">
        <v>184</v>
      </c>
      <c r="F86" s="11" t="s">
        <v>101</v>
      </c>
      <c r="G86" s="11" t="s">
        <v>520</v>
      </c>
      <c r="H86" s="11" t="s">
        <v>521</v>
      </c>
      <c r="I86" s="11" t="s">
        <v>195</v>
      </c>
      <c r="J86" s="11"/>
      <c r="K86" s="12"/>
      <c r="L86" s="12"/>
      <c r="M86" s="11" t="s">
        <v>105</v>
      </c>
      <c r="N86" s="11"/>
      <c r="O86" s="11"/>
      <c r="P86" s="11"/>
      <c r="Q86" s="11"/>
      <c r="R86" s="11"/>
      <c r="S86" s="11"/>
      <c r="T86" s="11" t="s">
        <v>107</v>
      </c>
      <c r="U86" s="11"/>
      <c r="V86" s="11"/>
      <c r="W86" s="11"/>
      <c r="X86" s="11"/>
      <c r="Y86" s="11" t="s">
        <v>108</v>
      </c>
      <c r="Z86" s="11">
        <v>12</v>
      </c>
      <c r="AA86" s="11" t="s">
        <v>117</v>
      </c>
      <c r="AB86" s="11"/>
      <c r="AC86" s="12"/>
      <c r="AD86" s="11"/>
      <c r="AE86" s="13" t="s">
        <v>188</v>
      </c>
      <c r="AF86" s="11" t="str">
        <f t="shared" si="1"/>
        <v>Not started</v>
      </c>
      <c r="AG86" s="11" t="s">
        <v>111</v>
      </c>
      <c r="AH86" s="11"/>
      <c r="AI86" s="11"/>
    </row>
    <row r="87" spans="1:35" ht="26.4" x14ac:dyDescent="0.3">
      <c r="A87" s="11" t="s">
        <v>522</v>
      </c>
      <c r="B87" s="11" t="s">
        <v>328</v>
      </c>
      <c r="C87" s="11" t="s">
        <v>519</v>
      </c>
      <c r="D87" s="11" t="s">
        <v>304</v>
      </c>
      <c r="E87" s="11" t="s">
        <v>279</v>
      </c>
      <c r="F87" s="11" t="s">
        <v>213</v>
      </c>
      <c r="G87" s="11" t="s">
        <v>523</v>
      </c>
      <c r="H87" s="11" t="s">
        <v>524</v>
      </c>
      <c r="I87" s="11" t="s">
        <v>181</v>
      </c>
      <c r="J87" s="11"/>
      <c r="K87" s="12"/>
      <c r="L87" s="12"/>
      <c r="M87" s="11" t="s">
        <v>105</v>
      </c>
      <c r="N87" s="11"/>
      <c r="O87" s="11"/>
      <c r="P87" s="11"/>
      <c r="Q87" s="11"/>
      <c r="R87" s="11"/>
      <c r="S87" s="11"/>
      <c r="T87" s="11" t="s">
        <v>107</v>
      </c>
      <c r="U87" s="11"/>
      <c r="V87" s="11"/>
      <c r="W87" s="11"/>
      <c r="X87" s="11"/>
      <c r="Y87" s="11" t="s">
        <v>108</v>
      </c>
      <c r="Z87" s="11">
        <v>12</v>
      </c>
      <c r="AA87" s="11" t="s">
        <v>109</v>
      </c>
      <c r="AB87" s="11"/>
      <c r="AC87" s="12"/>
      <c r="AD87" s="11" t="s">
        <v>525</v>
      </c>
      <c r="AE87" s="11"/>
      <c r="AF87" s="11" t="str">
        <f t="shared" si="1"/>
        <v>Not started</v>
      </c>
      <c r="AG87" s="11" t="s">
        <v>111</v>
      </c>
      <c r="AH87" s="11"/>
      <c r="AI87" s="11"/>
    </row>
    <row r="88" spans="1:35" ht="26.4" x14ac:dyDescent="0.3">
      <c r="A88" s="11" t="s">
        <v>526</v>
      </c>
      <c r="B88" s="11" t="s">
        <v>328</v>
      </c>
      <c r="C88" s="11" t="s">
        <v>519</v>
      </c>
      <c r="D88" s="11" t="s">
        <v>527</v>
      </c>
      <c r="E88" s="11" t="s">
        <v>279</v>
      </c>
      <c r="F88" s="11" t="s">
        <v>310</v>
      </c>
      <c r="G88" s="11" t="s">
        <v>528</v>
      </c>
      <c r="H88" s="11" t="s">
        <v>529</v>
      </c>
      <c r="I88" s="11" t="s">
        <v>282</v>
      </c>
      <c r="J88" s="11"/>
      <c r="K88" s="12"/>
      <c r="L88" s="12"/>
      <c r="M88" s="11" t="s">
        <v>105</v>
      </c>
      <c r="N88" s="11"/>
      <c r="O88" s="11" t="s">
        <v>515</v>
      </c>
      <c r="P88" s="11"/>
      <c r="Q88" s="11"/>
      <c r="R88" s="11"/>
      <c r="S88" s="11"/>
      <c r="T88" s="11" t="s">
        <v>107</v>
      </c>
      <c r="U88" s="11"/>
      <c r="V88" s="11"/>
      <c r="W88" s="11"/>
      <c r="X88" s="11"/>
      <c r="Y88" s="11" t="s">
        <v>108</v>
      </c>
      <c r="Z88" s="11">
        <v>12</v>
      </c>
      <c r="AA88" s="11" t="s">
        <v>109</v>
      </c>
      <c r="AB88" s="11"/>
      <c r="AC88" s="12"/>
      <c r="AD88" s="11"/>
      <c r="AE88" s="13" t="s">
        <v>530</v>
      </c>
      <c r="AF88" s="11" t="str">
        <f t="shared" si="1"/>
        <v>Not started</v>
      </c>
      <c r="AG88" s="11" t="s">
        <v>111</v>
      </c>
      <c r="AH88" s="11"/>
      <c r="AI88" s="11"/>
    </row>
    <row r="89" spans="1:35" ht="26.4" x14ac:dyDescent="0.3">
      <c r="A89" s="11" t="s">
        <v>531</v>
      </c>
      <c r="B89" s="11" t="s">
        <v>328</v>
      </c>
      <c r="C89" s="11" t="s">
        <v>519</v>
      </c>
      <c r="D89" s="11" t="s">
        <v>532</v>
      </c>
      <c r="E89" s="11" t="s">
        <v>449</v>
      </c>
      <c r="F89" s="11" t="s">
        <v>213</v>
      </c>
      <c r="G89" s="11" t="s">
        <v>533</v>
      </c>
      <c r="H89" s="11" t="s">
        <v>534</v>
      </c>
      <c r="I89" s="11" t="s">
        <v>488</v>
      </c>
      <c r="J89" s="11"/>
      <c r="K89" s="12"/>
      <c r="L89" s="12"/>
      <c r="M89" s="11" t="s">
        <v>105</v>
      </c>
      <c r="N89" s="11"/>
      <c r="O89" s="11"/>
      <c r="P89" s="11"/>
      <c r="Q89" s="11"/>
      <c r="R89" s="11"/>
      <c r="S89" s="11"/>
      <c r="T89" s="11" t="s">
        <v>107</v>
      </c>
      <c r="U89" s="11"/>
      <c r="V89" s="11"/>
      <c r="W89" s="11"/>
      <c r="X89" s="11"/>
      <c r="Y89" s="11" t="s">
        <v>108</v>
      </c>
      <c r="Z89" s="11">
        <v>12</v>
      </c>
      <c r="AA89" s="11" t="s">
        <v>109</v>
      </c>
      <c r="AB89" s="11"/>
      <c r="AC89" s="12"/>
      <c r="AD89" s="11"/>
      <c r="AE89" s="13" t="s">
        <v>535</v>
      </c>
      <c r="AF89" s="11" t="str">
        <f t="shared" si="1"/>
        <v>Not started</v>
      </c>
      <c r="AG89" s="11" t="s">
        <v>111</v>
      </c>
      <c r="AH89" s="11"/>
      <c r="AI89" s="11"/>
    </row>
    <row r="90" spans="1:35" ht="26.4" x14ac:dyDescent="0.3">
      <c r="A90" s="11" t="s">
        <v>536</v>
      </c>
      <c r="B90" s="11" t="s">
        <v>328</v>
      </c>
      <c r="C90" s="11" t="s">
        <v>519</v>
      </c>
      <c r="D90" s="11" t="s">
        <v>537</v>
      </c>
      <c r="E90" s="11" t="s">
        <v>449</v>
      </c>
      <c r="F90" s="11" t="s">
        <v>213</v>
      </c>
      <c r="G90" s="11" t="s">
        <v>538</v>
      </c>
      <c r="H90" s="11" t="s">
        <v>539</v>
      </c>
      <c r="I90" s="11" t="s">
        <v>488</v>
      </c>
      <c r="J90" s="11"/>
      <c r="K90" s="12"/>
      <c r="L90" s="12"/>
      <c r="M90" s="11" t="s">
        <v>105</v>
      </c>
      <c r="N90" s="11"/>
      <c r="O90" s="11"/>
      <c r="P90" s="11"/>
      <c r="Q90" s="11"/>
      <c r="R90" s="11"/>
      <c r="S90" s="11"/>
      <c r="T90" s="11" t="s">
        <v>107</v>
      </c>
      <c r="U90" s="11"/>
      <c r="V90" s="11"/>
      <c r="W90" s="11"/>
      <c r="X90" s="11"/>
      <c r="Y90" s="11" t="s">
        <v>108</v>
      </c>
      <c r="Z90" s="11">
        <v>12</v>
      </c>
      <c r="AA90" s="11" t="s">
        <v>109</v>
      </c>
      <c r="AB90" s="11"/>
      <c r="AC90" s="12"/>
      <c r="AD90" s="11"/>
      <c r="AE90" s="13" t="s">
        <v>540</v>
      </c>
      <c r="AF90" s="11" t="str">
        <f t="shared" si="1"/>
        <v>Not started</v>
      </c>
      <c r="AG90" s="11" t="s">
        <v>111</v>
      </c>
      <c r="AH90" s="11"/>
      <c r="AI90" s="11"/>
    </row>
    <row r="91" spans="1:35" ht="26.4" x14ac:dyDescent="0.3">
      <c r="A91" s="11" t="s">
        <v>541</v>
      </c>
      <c r="B91" s="11" t="s">
        <v>328</v>
      </c>
      <c r="C91" s="11" t="s">
        <v>519</v>
      </c>
      <c r="D91" s="11" t="s">
        <v>537</v>
      </c>
      <c r="E91" s="11" t="s">
        <v>449</v>
      </c>
      <c r="F91" s="11" t="s">
        <v>213</v>
      </c>
      <c r="G91" s="11" t="s">
        <v>542</v>
      </c>
      <c r="H91" s="11" t="s">
        <v>543</v>
      </c>
      <c r="I91" s="11" t="s">
        <v>488</v>
      </c>
      <c r="J91" s="11"/>
      <c r="K91" s="12"/>
      <c r="L91" s="12"/>
      <c r="M91" s="11" t="s">
        <v>105</v>
      </c>
      <c r="N91" s="11"/>
      <c r="O91" s="11"/>
      <c r="P91" s="11"/>
      <c r="Q91" s="11"/>
      <c r="R91" s="11"/>
      <c r="S91" s="11"/>
      <c r="T91" s="11" t="s">
        <v>107</v>
      </c>
      <c r="U91" s="11"/>
      <c r="V91" s="11"/>
      <c r="W91" s="11"/>
      <c r="X91" s="11"/>
      <c r="Y91" s="11" t="s">
        <v>108</v>
      </c>
      <c r="Z91" s="11">
        <v>12</v>
      </c>
      <c r="AA91" s="11" t="s">
        <v>109</v>
      </c>
      <c r="AB91" s="11"/>
      <c r="AC91" s="12"/>
      <c r="AD91" s="11"/>
      <c r="AE91" s="13" t="s">
        <v>540</v>
      </c>
      <c r="AF91" s="11" t="str">
        <f t="shared" si="1"/>
        <v>Not started</v>
      </c>
      <c r="AG91" s="11" t="s">
        <v>111</v>
      </c>
      <c r="AH91" s="11"/>
      <c r="AI91" s="11"/>
    </row>
    <row r="92" spans="1:35" ht="26.4" x14ac:dyDescent="0.3">
      <c r="A92" s="11" t="s">
        <v>544</v>
      </c>
      <c r="B92" s="11" t="s">
        <v>328</v>
      </c>
      <c r="C92" s="11" t="s">
        <v>519</v>
      </c>
      <c r="D92" s="11" t="s">
        <v>545</v>
      </c>
      <c r="E92" s="11" t="s">
        <v>449</v>
      </c>
      <c r="F92" s="11" t="s">
        <v>213</v>
      </c>
      <c r="G92" s="11" t="s">
        <v>546</v>
      </c>
      <c r="H92" s="11" t="s">
        <v>547</v>
      </c>
      <c r="I92" s="11" t="s">
        <v>488</v>
      </c>
      <c r="J92" s="11"/>
      <c r="K92" s="12"/>
      <c r="L92" s="12"/>
      <c r="M92" s="11" t="s">
        <v>105</v>
      </c>
      <c r="N92" s="11"/>
      <c r="O92" s="11"/>
      <c r="P92" s="11"/>
      <c r="Q92" s="11"/>
      <c r="R92" s="11"/>
      <c r="S92" s="11"/>
      <c r="T92" s="11" t="s">
        <v>107</v>
      </c>
      <c r="U92" s="11"/>
      <c r="V92" s="11"/>
      <c r="W92" s="11"/>
      <c r="X92" s="11"/>
      <c r="Y92" s="11" t="s">
        <v>108</v>
      </c>
      <c r="Z92" s="11">
        <v>12</v>
      </c>
      <c r="AA92" s="11" t="s">
        <v>109</v>
      </c>
      <c r="AB92" s="11"/>
      <c r="AC92" s="12"/>
      <c r="AD92" s="11"/>
      <c r="AE92" s="13" t="s">
        <v>548</v>
      </c>
      <c r="AF92" s="11" t="str">
        <f t="shared" si="1"/>
        <v>Not started</v>
      </c>
      <c r="AG92" s="11" t="s">
        <v>111</v>
      </c>
      <c r="AH92" s="11"/>
      <c r="AI92" s="11"/>
    </row>
    <row r="93" spans="1:35" ht="39.6" x14ac:dyDescent="0.3">
      <c r="A93" s="11" t="s">
        <v>549</v>
      </c>
      <c r="B93" s="11" t="s">
        <v>328</v>
      </c>
      <c r="C93" s="11" t="s">
        <v>519</v>
      </c>
      <c r="D93" s="11" t="s">
        <v>304</v>
      </c>
      <c r="E93" s="11" t="s">
        <v>550</v>
      </c>
      <c r="F93" s="11" t="s">
        <v>310</v>
      </c>
      <c r="G93" s="11" t="s">
        <v>551</v>
      </c>
      <c r="H93" s="11" t="s">
        <v>552</v>
      </c>
      <c r="I93" s="11" t="s">
        <v>553</v>
      </c>
      <c r="J93" s="11"/>
      <c r="K93" s="12"/>
      <c r="L93" s="12"/>
      <c r="M93" s="11" t="s">
        <v>105</v>
      </c>
      <c r="N93" s="11"/>
      <c r="O93" s="11"/>
      <c r="P93" s="11"/>
      <c r="Q93" s="11"/>
      <c r="R93" s="11"/>
      <c r="S93" s="11"/>
      <c r="T93" s="11" t="s">
        <v>107</v>
      </c>
      <c r="U93" s="11"/>
      <c r="V93" s="11"/>
      <c r="W93" s="11"/>
      <c r="X93" s="11"/>
      <c r="Y93" s="11" t="s">
        <v>108</v>
      </c>
      <c r="Z93" s="11">
        <v>6</v>
      </c>
      <c r="AA93" s="11" t="s">
        <v>109</v>
      </c>
      <c r="AB93" s="11"/>
      <c r="AC93" s="12"/>
      <c r="AD93" s="11" t="s">
        <v>554</v>
      </c>
      <c r="AE93" s="11"/>
      <c r="AF93" s="11" t="str">
        <f t="shared" si="1"/>
        <v>Not started</v>
      </c>
      <c r="AG93" s="11" t="s">
        <v>111</v>
      </c>
      <c r="AH93" s="11"/>
      <c r="AI93" s="11"/>
    </row>
    <row r="94" spans="1:35" x14ac:dyDescent="0.3">
      <c r="A94" s="11" t="s">
        <v>555</v>
      </c>
      <c r="B94" s="11"/>
      <c r="C94" s="11"/>
      <c r="D94" s="11"/>
      <c r="E94" s="11"/>
      <c r="F94" s="11"/>
      <c r="G94" s="11"/>
      <c r="H94" s="11"/>
      <c r="I94" s="11"/>
      <c r="J94" s="11"/>
      <c r="K94" s="12"/>
      <c r="L94" s="12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2"/>
      <c r="AD94" s="11"/>
      <c r="AE94" s="11"/>
      <c r="AF94" s="11" t="str">
        <f t="shared" si="1"/>
        <v/>
      </c>
      <c r="AG94" s="11"/>
      <c r="AH94" s="11"/>
      <c r="AI94" s="11"/>
    </row>
    <row r="95" spans="1:35" x14ac:dyDescent="0.3">
      <c r="A95" s="11" t="s">
        <v>556</v>
      </c>
      <c r="B95" s="11"/>
      <c r="C95" s="11"/>
      <c r="D95" s="11"/>
      <c r="E95" s="11"/>
      <c r="F95" s="11"/>
      <c r="G95" s="11"/>
      <c r="H95" s="11"/>
      <c r="I95" s="11"/>
      <c r="J95" s="11"/>
      <c r="K95" s="12"/>
      <c r="L95" s="12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2"/>
      <c r="AD95" s="11"/>
      <c r="AE95" s="11"/>
      <c r="AF95" s="11" t="str">
        <f t="shared" si="1"/>
        <v/>
      </c>
      <c r="AG95" s="11"/>
      <c r="AH95" s="11"/>
      <c r="AI95" s="11"/>
    </row>
    <row r="96" spans="1:35" x14ac:dyDescent="0.3">
      <c r="A96" s="11" t="s">
        <v>557</v>
      </c>
      <c r="B96" s="11"/>
      <c r="C96" s="11"/>
      <c r="D96" s="11"/>
      <c r="E96" s="11"/>
      <c r="F96" s="11"/>
      <c r="G96" s="11"/>
      <c r="H96" s="11"/>
      <c r="I96" s="11"/>
      <c r="J96" s="11"/>
      <c r="K96" s="12"/>
      <c r="L96" s="12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2"/>
      <c r="AD96" s="11"/>
      <c r="AE96" s="11"/>
      <c r="AF96" s="11" t="str">
        <f t="shared" si="1"/>
        <v/>
      </c>
      <c r="AG96" s="11"/>
      <c r="AH96" s="11"/>
      <c r="AI96" s="11"/>
    </row>
    <row r="97" spans="1:35" x14ac:dyDescent="0.3">
      <c r="A97" s="11" t="s">
        <v>558</v>
      </c>
      <c r="B97" s="11"/>
      <c r="C97" s="11"/>
      <c r="D97" s="11"/>
      <c r="E97" s="11"/>
      <c r="F97" s="11"/>
      <c r="G97" s="11"/>
      <c r="H97" s="11"/>
      <c r="I97" s="11"/>
      <c r="J97" s="11"/>
      <c r="K97" s="12"/>
      <c r="L97" s="12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2"/>
      <c r="AD97" s="11"/>
      <c r="AE97" s="11"/>
      <c r="AF97" s="11" t="str">
        <f t="shared" si="1"/>
        <v/>
      </c>
      <c r="AG97" s="11"/>
      <c r="AH97" s="11"/>
      <c r="AI97" s="11"/>
    </row>
    <row r="98" spans="1:35" x14ac:dyDescent="0.3">
      <c r="A98" s="11" t="s">
        <v>559</v>
      </c>
      <c r="B98" s="11"/>
      <c r="C98" s="11"/>
      <c r="D98" s="11"/>
      <c r="E98" s="11"/>
      <c r="F98" s="11"/>
      <c r="G98" s="11"/>
      <c r="H98" s="11"/>
      <c r="I98" s="11"/>
      <c r="J98" s="11"/>
      <c r="K98" s="12"/>
      <c r="L98" s="12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2"/>
      <c r="AD98" s="11"/>
      <c r="AE98" s="11"/>
      <c r="AF98" s="11" t="str">
        <f t="shared" si="1"/>
        <v/>
      </c>
      <c r="AG98" s="11"/>
      <c r="AH98" s="11"/>
      <c r="AI98" s="11"/>
    </row>
    <row r="99" spans="1:35" x14ac:dyDescent="0.3">
      <c r="A99" s="11" t="s">
        <v>560</v>
      </c>
      <c r="B99" s="11"/>
      <c r="C99" s="11"/>
      <c r="D99" s="11"/>
      <c r="E99" s="11"/>
      <c r="F99" s="11"/>
      <c r="G99" s="11"/>
      <c r="H99" s="11"/>
      <c r="I99" s="11"/>
      <c r="J99" s="11"/>
      <c r="K99" s="12"/>
      <c r="L99" s="12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2"/>
      <c r="AD99" s="11"/>
      <c r="AE99" s="11"/>
      <c r="AF99" s="11" t="str">
        <f t="shared" si="1"/>
        <v/>
      </c>
      <c r="AG99" s="11"/>
      <c r="AH99" s="11"/>
      <c r="AI99" s="11"/>
    </row>
    <row r="100" spans="1:35" x14ac:dyDescent="0.3">
      <c r="A100" s="11" t="s">
        <v>561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2"/>
      <c r="L100" s="12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2"/>
      <c r="AD100" s="11"/>
      <c r="AE100" s="11"/>
      <c r="AF100" s="11" t="str">
        <f t="shared" si="1"/>
        <v/>
      </c>
      <c r="AG100" s="11"/>
      <c r="AH100" s="11"/>
      <c r="AI100" s="11"/>
    </row>
    <row r="101" spans="1:35" x14ac:dyDescent="0.3">
      <c r="A101" s="11" t="s">
        <v>562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2"/>
      <c r="L101" s="12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2"/>
      <c r="AD101" s="11"/>
      <c r="AE101" s="11"/>
      <c r="AF101" s="11" t="str">
        <f t="shared" si="1"/>
        <v/>
      </c>
      <c r="AG101" s="11"/>
      <c r="AH101" s="11"/>
      <c r="AI101" s="11"/>
    </row>
    <row r="102" spans="1:35" x14ac:dyDescent="0.3">
      <c r="A102" s="11" t="s">
        <v>563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2"/>
      <c r="L102" s="12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2"/>
      <c r="AD102" s="11"/>
      <c r="AE102" s="11"/>
      <c r="AF102" s="11" t="str">
        <f t="shared" si="1"/>
        <v/>
      </c>
      <c r="AG102" s="11"/>
      <c r="AH102" s="11"/>
      <c r="AI102" s="11"/>
    </row>
    <row r="103" spans="1:35" x14ac:dyDescent="0.3">
      <c r="A103" s="11" t="s">
        <v>564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2"/>
      <c r="L103" s="12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2"/>
      <c r="AD103" s="11"/>
      <c r="AE103" s="11"/>
      <c r="AF103" s="11" t="str">
        <f t="shared" si="1"/>
        <v/>
      </c>
      <c r="AG103" s="11"/>
      <c r="AH103" s="11"/>
      <c r="AI103" s="11"/>
    </row>
    <row r="104" spans="1:35" x14ac:dyDescent="0.3">
      <c r="A104" s="11" t="s">
        <v>565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2"/>
      <c r="L104" s="12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2"/>
      <c r="AD104" s="11"/>
      <c r="AE104" s="11"/>
      <c r="AF104" s="11" t="str">
        <f t="shared" si="1"/>
        <v/>
      </c>
      <c r="AG104" s="11"/>
      <c r="AH104" s="11"/>
      <c r="AI104" s="11"/>
    </row>
    <row r="105" spans="1:35" x14ac:dyDescent="0.3">
      <c r="A105" s="11" t="s">
        <v>566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2"/>
      <c r="L105" s="12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2"/>
      <c r="AD105" s="11"/>
      <c r="AE105" s="11"/>
      <c r="AF105" s="11" t="str">
        <f t="shared" si="1"/>
        <v/>
      </c>
      <c r="AG105" s="11"/>
      <c r="AH105" s="11"/>
      <c r="AI105" s="11"/>
    </row>
    <row r="106" spans="1:35" x14ac:dyDescent="0.3">
      <c r="A106" s="11" t="s">
        <v>567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2"/>
      <c r="L106" s="12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2"/>
      <c r="AD106" s="11"/>
      <c r="AE106" s="11"/>
      <c r="AF106" s="11" t="str">
        <f t="shared" si="1"/>
        <v/>
      </c>
      <c r="AG106" s="11"/>
      <c r="AH106" s="11"/>
      <c r="AI106" s="11"/>
    </row>
    <row r="107" spans="1:35" x14ac:dyDescent="0.3">
      <c r="A107" s="11" t="s">
        <v>568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2"/>
      <c r="L107" s="12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2"/>
      <c r="AD107" s="11"/>
      <c r="AE107" s="11"/>
      <c r="AF107" s="11" t="str">
        <f t="shared" si="1"/>
        <v/>
      </c>
      <c r="AG107" s="11"/>
      <c r="AH107" s="11"/>
      <c r="AI107" s="11"/>
    </row>
    <row r="108" spans="1:35" x14ac:dyDescent="0.3">
      <c r="A108" s="11" t="s">
        <v>569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2"/>
      <c r="L108" s="12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2"/>
      <c r="AD108" s="11"/>
      <c r="AE108" s="11"/>
      <c r="AF108" s="11" t="str">
        <f t="shared" si="1"/>
        <v/>
      </c>
      <c r="AG108" s="11"/>
      <c r="AH108" s="11"/>
      <c r="AI108" s="11"/>
    </row>
    <row r="109" spans="1:35" x14ac:dyDescent="0.3">
      <c r="A109" s="11" t="s">
        <v>570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2"/>
      <c r="L109" s="12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2"/>
      <c r="AD109" s="11"/>
      <c r="AE109" s="11"/>
      <c r="AF109" s="11" t="str">
        <f t="shared" si="1"/>
        <v/>
      </c>
      <c r="AG109" s="11"/>
      <c r="AH109" s="11"/>
      <c r="AI109" s="11"/>
    </row>
    <row r="110" spans="1:35" x14ac:dyDescent="0.3">
      <c r="A110" s="11" t="s">
        <v>571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2"/>
      <c r="L110" s="12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2"/>
      <c r="AD110" s="11"/>
      <c r="AE110" s="11"/>
      <c r="AF110" s="11" t="str">
        <f t="shared" si="1"/>
        <v/>
      </c>
      <c r="AG110" s="11"/>
      <c r="AH110" s="11"/>
      <c r="AI110" s="11"/>
    </row>
    <row r="111" spans="1:35" x14ac:dyDescent="0.3">
      <c r="A111" s="11" t="s">
        <v>572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2"/>
      <c r="L111" s="12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2"/>
      <c r="AD111" s="11"/>
      <c r="AE111" s="11"/>
      <c r="AF111" s="11" t="str">
        <f t="shared" si="1"/>
        <v/>
      </c>
      <c r="AG111" s="11"/>
      <c r="AH111" s="11"/>
      <c r="AI111" s="11"/>
    </row>
    <row r="112" spans="1:35" x14ac:dyDescent="0.3">
      <c r="A112" s="11" t="s">
        <v>573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2"/>
      <c r="L112" s="12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2"/>
      <c r="AD112" s="11"/>
      <c r="AE112" s="11"/>
      <c r="AF112" s="11" t="str">
        <f t="shared" si="1"/>
        <v/>
      </c>
      <c r="AG112" s="11"/>
      <c r="AH112" s="11"/>
      <c r="AI112" s="11"/>
    </row>
    <row r="113" spans="1:35" x14ac:dyDescent="0.3">
      <c r="A113" s="11" t="s">
        <v>574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2"/>
      <c r="L113" s="12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2"/>
      <c r="AD113" s="11"/>
      <c r="AE113" s="11"/>
      <c r="AF113" s="11" t="str">
        <f t="shared" si="1"/>
        <v/>
      </c>
      <c r="AG113" s="11"/>
      <c r="AH113" s="11"/>
      <c r="AI113" s="11"/>
    </row>
    <row r="114" spans="1:35" x14ac:dyDescent="0.3">
      <c r="A114" s="11" t="s">
        <v>575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2"/>
      <c r="L114" s="12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2"/>
      <c r="AD114" s="11"/>
      <c r="AE114" s="11"/>
      <c r="AF114" s="11" t="str">
        <f t="shared" si="1"/>
        <v/>
      </c>
      <c r="AG114" s="11"/>
      <c r="AH114" s="11"/>
      <c r="AI114" s="11"/>
    </row>
    <row r="115" spans="1:35" x14ac:dyDescent="0.3">
      <c r="A115" s="11" t="s">
        <v>576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2"/>
      <c r="L115" s="12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2"/>
      <c r="AD115" s="11"/>
      <c r="AE115" s="11"/>
      <c r="AF115" s="11" t="str">
        <f t="shared" si="1"/>
        <v/>
      </c>
      <c r="AG115" s="11"/>
      <c r="AH115" s="11"/>
      <c r="AI115" s="11"/>
    </row>
    <row r="116" spans="1:35" x14ac:dyDescent="0.3">
      <c r="A116" s="11" t="s">
        <v>577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2"/>
      <c r="L116" s="12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2"/>
      <c r="AD116" s="11"/>
      <c r="AE116" s="11"/>
      <c r="AF116" s="11" t="str">
        <f t="shared" si="1"/>
        <v/>
      </c>
      <c r="AG116" s="11"/>
      <c r="AH116" s="11"/>
      <c r="AI116" s="11"/>
    </row>
    <row r="117" spans="1:35" x14ac:dyDescent="0.3">
      <c r="A117" s="11" t="s">
        <v>578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2"/>
      <c r="L117" s="12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2"/>
      <c r="AD117" s="11"/>
      <c r="AE117" s="11"/>
      <c r="AF117" s="11" t="str">
        <f t="shared" si="1"/>
        <v/>
      </c>
      <c r="AG117" s="11"/>
      <c r="AH117" s="11"/>
      <c r="AI117" s="11"/>
    </row>
    <row r="118" spans="1:35" x14ac:dyDescent="0.3">
      <c r="A118" s="11" t="s">
        <v>579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2"/>
      <c r="L118" s="12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2"/>
      <c r="AD118" s="11"/>
      <c r="AE118" s="11"/>
      <c r="AF118" s="11" t="str">
        <f t="shared" si="1"/>
        <v/>
      </c>
      <c r="AG118" s="11"/>
      <c r="AH118" s="11"/>
      <c r="AI118" s="11"/>
    </row>
    <row r="119" spans="1:35" x14ac:dyDescent="0.3">
      <c r="A119" s="11" t="s">
        <v>580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2"/>
      <c r="L119" s="12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2"/>
      <c r="AD119" s="11"/>
      <c r="AE119" s="11"/>
      <c r="AF119" s="11" t="str">
        <f t="shared" si="1"/>
        <v/>
      </c>
      <c r="AG119" s="11"/>
      <c r="AH119" s="11"/>
      <c r="AI119" s="11"/>
    </row>
    <row r="120" spans="1:35" x14ac:dyDescent="0.3">
      <c r="A120" s="11" t="s">
        <v>581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2"/>
      <c r="L120" s="12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2"/>
      <c r="AD120" s="11"/>
      <c r="AE120" s="11"/>
      <c r="AF120" s="11" t="str">
        <f t="shared" si="1"/>
        <v/>
      </c>
      <c r="AG120" s="11"/>
      <c r="AH120" s="11"/>
      <c r="AI120" s="11"/>
    </row>
    <row r="121" spans="1:35" x14ac:dyDescent="0.3">
      <c r="A121" s="11" t="s">
        <v>582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2"/>
      <c r="L121" s="12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2"/>
      <c r="AD121" s="11"/>
      <c r="AE121" s="11"/>
      <c r="AF121" s="11" t="str">
        <f t="shared" si="1"/>
        <v/>
      </c>
      <c r="AG121" s="11"/>
      <c r="AH121" s="11"/>
      <c r="AI121" s="11"/>
    </row>
    <row r="122" spans="1:35" x14ac:dyDescent="0.3">
      <c r="A122" s="11" t="s">
        <v>583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2"/>
      <c r="L122" s="12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2"/>
      <c r="AD122" s="11"/>
      <c r="AE122" s="11"/>
      <c r="AF122" s="11" t="str">
        <f t="shared" si="1"/>
        <v/>
      </c>
      <c r="AG122" s="11"/>
      <c r="AH122" s="11"/>
      <c r="AI122" s="11"/>
    </row>
    <row r="123" spans="1:35" x14ac:dyDescent="0.3">
      <c r="A123" s="11" t="s">
        <v>584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2"/>
      <c r="L123" s="12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2"/>
      <c r="AD123" s="11"/>
      <c r="AE123" s="11"/>
      <c r="AF123" s="11" t="str">
        <f t="shared" si="1"/>
        <v/>
      </c>
      <c r="AG123" s="11"/>
      <c r="AH123" s="11"/>
      <c r="AI123" s="11"/>
    </row>
    <row r="124" spans="1:35" x14ac:dyDescent="0.3">
      <c r="A124" s="11" t="s">
        <v>585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2"/>
      <c r="L124" s="12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2"/>
      <c r="AD124" s="11"/>
      <c r="AE124" s="11"/>
      <c r="AF124" s="11" t="str">
        <f t="shared" si="1"/>
        <v/>
      </c>
      <c r="AG124" s="11"/>
      <c r="AH124" s="11"/>
      <c r="AI124" s="11"/>
    </row>
    <row r="125" spans="1:35" x14ac:dyDescent="0.3">
      <c r="A125" s="11" t="s">
        <v>586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2"/>
      <c r="L125" s="12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2"/>
      <c r="AD125" s="11"/>
      <c r="AE125" s="11"/>
      <c r="AF125" s="11" t="str">
        <f t="shared" si="1"/>
        <v/>
      </c>
      <c r="AG125" s="11"/>
      <c r="AH125" s="11"/>
      <c r="AI125" s="11"/>
    </row>
    <row r="126" spans="1:35" x14ac:dyDescent="0.3">
      <c r="A126" s="11" t="s">
        <v>587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2"/>
      <c r="L126" s="12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2"/>
      <c r="AD126" s="11"/>
      <c r="AE126" s="11"/>
      <c r="AF126" s="11" t="str">
        <f t="shared" si="1"/>
        <v/>
      </c>
      <c r="AG126" s="11"/>
      <c r="AH126" s="11"/>
      <c r="AI126" s="11"/>
    </row>
    <row r="127" spans="1:35" x14ac:dyDescent="0.3">
      <c r="A127" s="11" t="s">
        <v>588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2"/>
      <c r="L127" s="12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2"/>
      <c r="AD127" s="11"/>
      <c r="AE127" s="11"/>
      <c r="AF127" s="11" t="str">
        <f t="shared" si="1"/>
        <v/>
      </c>
      <c r="AG127" s="11"/>
      <c r="AH127" s="11"/>
      <c r="AI127" s="11"/>
    </row>
    <row r="128" spans="1:35" x14ac:dyDescent="0.3">
      <c r="A128" s="11" t="s">
        <v>589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2"/>
      <c r="L128" s="12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2"/>
      <c r="AD128" s="11"/>
      <c r="AE128" s="11"/>
      <c r="AF128" s="11" t="str">
        <f t="shared" si="1"/>
        <v/>
      </c>
      <c r="AG128" s="11"/>
      <c r="AH128" s="11"/>
      <c r="AI128" s="11"/>
    </row>
    <row r="129" spans="1:35" x14ac:dyDescent="0.3">
      <c r="A129" s="11" t="s">
        <v>590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2"/>
      <c r="L129" s="12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2"/>
      <c r="AD129" s="11"/>
      <c r="AE129" s="11"/>
      <c r="AF129" s="11" t="str">
        <f t="shared" si="1"/>
        <v/>
      </c>
      <c r="AG129" s="11"/>
      <c r="AH129" s="11"/>
      <c r="AI129" s="11"/>
    </row>
    <row r="130" spans="1:35" x14ac:dyDescent="0.3">
      <c r="A130" s="11" t="s">
        <v>591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2"/>
      <c r="L130" s="12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2"/>
      <c r="AD130" s="11"/>
      <c r="AE130" s="11"/>
      <c r="AF130" s="11" t="str">
        <f t="shared" si="1"/>
        <v/>
      </c>
      <c r="AG130" s="11"/>
      <c r="AH130" s="11"/>
      <c r="AI130" s="11"/>
    </row>
    <row r="131" spans="1:35" x14ac:dyDescent="0.3">
      <c r="A131" s="11" t="s">
        <v>592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2"/>
      <c r="L131" s="12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2"/>
      <c r="AD131" s="11"/>
      <c r="AE131" s="11"/>
      <c r="AF131" s="11" t="str">
        <f t="shared" si="1"/>
        <v/>
      </c>
      <c r="AG131" s="11"/>
      <c r="AH131" s="11"/>
      <c r="AI131" s="11"/>
    </row>
    <row r="132" spans="1:35" x14ac:dyDescent="0.3">
      <c r="A132" s="11" t="s">
        <v>593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2"/>
      <c r="L132" s="12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2"/>
      <c r="AD132" s="11"/>
      <c r="AE132" s="11"/>
      <c r="AF132" s="11" t="str">
        <f t="shared" si="1"/>
        <v/>
      </c>
      <c r="AG132" s="11"/>
      <c r="AH132" s="11"/>
      <c r="AI132" s="11"/>
    </row>
    <row r="133" spans="1:35" x14ac:dyDescent="0.3">
      <c r="A133" s="11" t="s">
        <v>594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2"/>
      <c r="L133" s="12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2"/>
      <c r="AD133" s="11"/>
      <c r="AE133" s="11"/>
      <c r="AF133" s="11" t="str">
        <f t="shared" ref="AF133:AF196" si="2">IF($H133="","",IF($T133="To find","Not started",IF(($C133="")+($D133="")+($E133="")+($G133="")+($I133="")+($M133="")+($O133="")+($S133="")&gt;0,"Missing basic details",IF(AND($T133="Downloaded",($R133="")+($U133="")+($V133="")+(($W133="")*(RIGHT(LOWER($U133),4)=".pdf"))&gt;0),"Add file details",IF(AND($T133="Downloaded",LEN($X133)&lt;&gt;64),"Check SHA-256",IF(AND($Q133="",$R133=""),"Add a URL",IF($S133="No","Not official - replace",IF($M133="Not verified","Verify status","OK"))))))))</f>
        <v/>
      </c>
      <c r="AG133" s="11"/>
      <c r="AH133" s="11"/>
      <c r="AI133" s="11"/>
    </row>
    <row r="134" spans="1:35" x14ac:dyDescent="0.3">
      <c r="A134" s="11" t="s">
        <v>595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2"/>
      <c r="L134" s="12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2"/>
      <c r="AD134" s="11"/>
      <c r="AE134" s="11"/>
      <c r="AF134" s="11" t="str">
        <f t="shared" si="2"/>
        <v/>
      </c>
      <c r="AG134" s="11"/>
      <c r="AH134" s="11"/>
      <c r="AI134" s="11"/>
    </row>
    <row r="135" spans="1:35" x14ac:dyDescent="0.3">
      <c r="A135" s="11" t="s">
        <v>596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2"/>
      <c r="L135" s="12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2"/>
      <c r="AD135" s="11"/>
      <c r="AE135" s="11"/>
      <c r="AF135" s="11" t="str">
        <f t="shared" si="2"/>
        <v/>
      </c>
      <c r="AG135" s="11"/>
      <c r="AH135" s="11"/>
      <c r="AI135" s="11"/>
    </row>
    <row r="136" spans="1:35" x14ac:dyDescent="0.3">
      <c r="A136" s="11" t="s">
        <v>597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2"/>
      <c r="L136" s="12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2"/>
      <c r="AD136" s="11"/>
      <c r="AE136" s="11"/>
      <c r="AF136" s="11" t="str">
        <f t="shared" si="2"/>
        <v/>
      </c>
      <c r="AG136" s="11"/>
      <c r="AH136" s="11"/>
      <c r="AI136" s="11"/>
    </row>
    <row r="137" spans="1:35" x14ac:dyDescent="0.3">
      <c r="A137" s="11" t="s">
        <v>598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2"/>
      <c r="L137" s="12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2"/>
      <c r="AD137" s="11"/>
      <c r="AE137" s="11"/>
      <c r="AF137" s="11" t="str">
        <f t="shared" si="2"/>
        <v/>
      </c>
      <c r="AG137" s="11"/>
      <c r="AH137" s="11"/>
      <c r="AI137" s="11"/>
    </row>
    <row r="138" spans="1:35" x14ac:dyDescent="0.3">
      <c r="A138" s="11" t="s">
        <v>599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2"/>
      <c r="L138" s="12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2"/>
      <c r="AD138" s="11"/>
      <c r="AE138" s="11"/>
      <c r="AF138" s="11" t="str">
        <f t="shared" si="2"/>
        <v/>
      </c>
      <c r="AG138" s="11"/>
      <c r="AH138" s="11"/>
      <c r="AI138" s="11"/>
    </row>
    <row r="139" spans="1:35" x14ac:dyDescent="0.3">
      <c r="A139" s="11" t="s">
        <v>600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2"/>
      <c r="L139" s="12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2"/>
      <c r="AD139" s="11"/>
      <c r="AE139" s="11"/>
      <c r="AF139" s="11" t="str">
        <f t="shared" si="2"/>
        <v/>
      </c>
      <c r="AG139" s="11"/>
      <c r="AH139" s="11"/>
      <c r="AI139" s="11"/>
    </row>
    <row r="140" spans="1:35" x14ac:dyDescent="0.3">
      <c r="A140" s="11" t="s">
        <v>601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2"/>
      <c r="L140" s="12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2"/>
      <c r="AD140" s="11"/>
      <c r="AE140" s="11"/>
      <c r="AF140" s="11" t="str">
        <f t="shared" si="2"/>
        <v/>
      </c>
      <c r="AG140" s="11"/>
      <c r="AH140" s="11"/>
      <c r="AI140" s="11"/>
    </row>
    <row r="141" spans="1:35" x14ac:dyDescent="0.3">
      <c r="A141" s="11" t="s">
        <v>602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2"/>
      <c r="L141" s="12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2"/>
      <c r="AD141" s="11"/>
      <c r="AE141" s="11"/>
      <c r="AF141" s="11" t="str">
        <f t="shared" si="2"/>
        <v/>
      </c>
      <c r="AG141" s="11"/>
      <c r="AH141" s="11"/>
      <c r="AI141" s="11"/>
    </row>
    <row r="142" spans="1:35" x14ac:dyDescent="0.3">
      <c r="A142" s="11" t="s">
        <v>603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2"/>
      <c r="L142" s="12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2"/>
      <c r="AD142" s="11"/>
      <c r="AE142" s="11"/>
      <c r="AF142" s="11" t="str">
        <f t="shared" si="2"/>
        <v/>
      </c>
      <c r="AG142" s="11"/>
      <c r="AH142" s="11"/>
      <c r="AI142" s="11"/>
    </row>
    <row r="143" spans="1:35" x14ac:dyDescent="0.3">
      <c r="A143" s="11" t="s">
        <v>604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2"/>
      <c r="L143" s="12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2"/>
      <c r="AD143" s="11"/>
      <c r="AE143" s="11"/>
      <c r="AF143" s="11" t="str">
        <f t="shared" si="2"/>
        <v/>
      </c>
      <c r="AG143" s="11"/>
      <c r="AH143" s="11"/>
      <c r="AI143" s="11"/>
    </row>
    <row r="144" spans="1:35" x14ac:dyDescent="0.3">
      <c r="A144" s="11" t="s">
        <v>605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2"/>
      <c r="L144" s="12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2"/>
      <c r="AD144" s="11"/>
      <c r="AE144" s="11"/>
      <c r="AF144" s="11" t="str">
        <f t="shared" si="2"/>
        <v/>
      </c>
      <c r="AG144" s="11"/>
      <c r="AH144" s="11"/>
      <c r="AI144" s="11"/>
    </row>
    <row r="145" spans="1:35" x14ac:dyDescent="0.3">
      <c r="A145" s="11" t="s">
        <v>606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2"/>
      <c r="L145" s="12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2"/>
      <c r="AD145" s="11"/>
      <c r="AE145" s="11"/>
      <c r="AF145" s="11" t="str">
        <f t="shared" si="2"/>
        <v/>
      </c>
      <c r="AG145" s="11"/>
      <c r="AH145" s="11"/>
      <c r="AI145" s="11"/>
    </row>
    <row r="146" spans="1:35" x14ac:dyDescent="0.3">
      <c r="A146" s="11" t="s">
        <v>607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2"/>
      <c r="L146" s="12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2"/>
      <c r="AD146" s="11"/>
      <c r="AE146" s="11"/>
      <c r="AF146" s="11" t="str">
        <f t="shared" si="2"/>
        <v/>
      </c>
      <c r="AG146" s="11"/>
      <c r="AH146" s="11"/>
      <c r="AI146" s="11"/>
    </row>
    <row r="147" spans="1:35" x14ac:dyDescent="0.3">
      <c r="A147" s="11" t="s">
        <v>608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2"/>
      <c r="L147" s="12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2"/>
      <c r="AD147" s="11"/>
      <c r="AE147" s="11"/>
      <c r="AF147" s="11" t="str">
        <f t="shared" si="2"/>
        <v/>
      </c>
      <c r="AG147" s="11"/>
      <c r="AH147" s="11"/>
      <c r="AI147" s="11"/>
    </row>
    <row r="148" spans="1:35" x14ac:dyDescent="0.3">
      <c r="A148" s="11" t="s">
        <v>609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2"/>
      <c r="L148" s="12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2"/>
      <c r="AD148" s="11"/>
      <c r="AE148" s="11"/>
      <c r="AF148" s="11" t="str">
        <f t="shared" si="2"/>
        <v/>
      </c>
      <c r="AG148" s="11"/>
      <c r="AH148" s="11"/>
      <c r="AI148" s="11"/>
    </row>
    <row r="149" spans="1:35" x14ac:dyDescent="0.3">
      <c r="A149" s="11" t="s">
        <v>610</v>
      </c>
      <c r="B149" s="11"/>
      <c r="C149" s="11"/>
      <c r="D149" s="11"/>
      <c r="E149" s="11"/>
      <c r="F149" s="11"/>
      <c r="G149" s="11"/>
      <c r="H149" s="11"/>
      <c r="I149" s="11"/>
      <c r="J149" s="11"/>
      <c r="K149" s="12"/>
      <c r="L149" s="12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2"/>
      <c r="AD149" s="11"/>
      <c r="AE149" s="11"/>
      <c r="AF149" s="11" t="str">
        <f t="shared" si="2"/>
        <v/>
      </c>
      <c r="AG149" s="11"/>
      <c r="AH149" s="11"/>
      <c r="AI149" s="11"/>
    </row>
    <row r="150" spans="1:35" x14ac:dyDescent="0.3">
      <c r="A150" s="11" t="s">
        <v>611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2"/>
      <c r="L150" s="12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2"/>
      <c r="AD150" s="11"/>
      <c r="AE150" s="11"/>
      <c r="AF150" s="11" t="str">
        <f t="shared" si="2"/>
        <v/>
      </c>
      <c r="AG150" s="11"/>
      <c r="AH150" s="11"/>
      <c r="AI150" s="11"/>
    </row>
    <row r="151" spans="1:35" x14ac:dyDescent="0.3">
      <c r="A151" s="11" t="s">
        <v>612</v>
      </c>
      <c r="B151" s="11"/>
      <c r="C151" s="11"/>
      <c r="D151" s="11"/>
      <c r="E151" s="11"/>
      <c r="F151" s="11"/>
      <c r="G151" s="11"/>
      <c r="H151" s="11"/>
      <c r="I151" s="11"/>
      <c r="J151" s="11"/>
      <c r="K151" s="12"/>
      <c r="L151" s="12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2"/>
      <c r="AD151" s="11"/>
      <c r="AE151" s="11"/>
      <c r="AF151" s="11" t="str">
        <f t="shared" si="2"/>
        <v/>
      </c>
      <c r="AG151" s="11"/>
      <c r="AH151" s="11"/>
      <c r="AI151" s="11"/>
    </row>
    <row r="152" spans="1:35" x14ac:dyDescent="0.3">
      <c r="A152" s="11" t="s">
        <v>613</v>
      </c>
      <c r="B152" s="11"/>
      <c r="C152" s="11"/>
      <c r="D152" s="11"/>
      <c r="E152" s="11"/>
      <c r="F152" s="11"/>
      <c r="G152" s="11"/>
      <c r="H152" s="11"/>
      <c r="I152" s="11"/>
      <c r="J152" s="11"/>
      <c r="K152" s="12"/>
      <c r="L152" s="12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2"/>
      <c r="AD152" s="11"/>
      <c r="AE152" s="11"/>
      <c r="AF152" s="11" t="str">
        <f t="shared" si="2"/>
        <v/>
      </c>
      <c r="AG152" s="11"/>
      <c r="AH152" s="11"/>
      <c r="AI152" s="11"/>
    </row>
    <row r="153" spans="1:35" x14ac:dyDescent="0.3">
      <c r="A153" s="11" t="s">
        <v>614</v>
      </c>
      <c r="B153" s="11"/>
      <c r="C153" s="11"/>
      <c r="D153" s="11"/>
      <c r="E153" s="11"/>
      <c r="F153" s="11"/>
      <c r="G153" s="11"/>
      <c r="H153" s="11"/>
      <c r="I153" s="11"/>
      <c r="J153" s="11"/>
      <c r="K153" s="12"/>
      <c r="L153" s="12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2"/>
      <c r="AD153" s="11"/>
      <c r="AE153" s="11"/>
      <c r="AF153" s="11" t="str">
        <f t="shared" si="2"/>
        <v/>
      </c>
      <c r="AG153" s="11"/>
      <c r="AH153" s="11"/>
      <c r="AI153" s="11"/>
    </row>
    <row r="154" spans="1:35" x14ac:dyDescent="0.3">
      <c r="A154" s="11" t="s">
        <v>615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2"/>
      <c r="L154" s="12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2"/>
      <c r="AD154" s="11"/>
      <c r="AE154" s="11"/>
      <c r="AF154" s="11" t="str">
        <f t="shared" si="2"/>
        <v/>
      </c>
      <c r="AG154" s="11"/>
      <c r="AH154" s="11"/>
      <c r="AI154" s="11"/>
    </row>
    <row r="155" spans="1:35" x14ac:dyDescent="0.3">
      <c r="A155" s="11" t="s">
        <v>616</v>
      </c>
      <c r="B155" s="11"/>
      <c r="C155" s="11"/>
      <c r="D155" s="11"/>
      <c r="E155" s="11"/>
      <c r="F155" s="11"/>
      <c r="G155" s="11"/>
      <c r="H155" s="11"/>
      <c r="I155" s="11"/>
      <c r="J155" s="11"/>
      <c r="K155" s="12"/>
      <c r="L155" s="12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2"/>
      <c r="AD155" s="11"/>
      <c r="AE155" s="11"/>
      <c r="AF155" s="11" t="str">
        <f t="shared" si="2"/>
        <v/>
      </c>
      <c r="AG155" s="11"/>
      <c r="AH155" s="11"/>
      <c r="AI155" s="11"/>
    </row>
    <row r="156" spans="1:35" x14ac:dyDescent="0.3">
      <c r="A156" s="11" t="s">
        <v>617</v>
      </c>
      <c r="B156" s="11"/>
      <c r="C156" s="11"/>
      <c r="D156" s="11"/>
      <c r="E156" s="11"/>
      <c r="F156" s="11"/>
      <c r="G156" s="11"/>
      <c r="H156" s="11"/>
      <c r="I156" s="11"/>
      <c r="J156" s="11"/>
      <c r="K156" s="12"/>
      <c r="L156" s="12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2"/>
      <c r="AD156" s="11"/>
      <c r="AE156" s="11"/>
      <c r="AF156" s="11" t="str">
        <f t="shared" si="2"/>
        <v/>
      </c>
      <c r="AG156" s="11"/>
      <c r="AH156" s="11"/>
      <c r="AI156" s="11"/>
    </row>
    <row r="157" spans="1:35" x14ac:dyDescent="0.3">
      <c r="A157" s="11" t="s">
        <v>618</v>
      </c>
      <c r="B157" s="11"/>
      <c r="C157" s="11"/>
      <c r="D157" s="11"/>
      <c r="E157" s="11"/>
      <c r="F157" s="11"/>
      <c r="G157" s="11"/>
      <c r="H157" s="11"/>
      <c r="I157" s="11"/>
      <c r="J157" s="11"/>
      <c r="K157" s="12"/>
      <c r="L157" s="12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2"/>
      <c r="AD157" s="11"/>
      <c r="AE157" s="11"/>
      <c r="AF157" s="11" t="str">
        <f t="shared" si="2"/>
        <v/>
      </c>
      <c r="AG157" s="11"/>
      <c r="AH157" s="11"/>
      <c r="AI157" s="11"/>
    </row>
    <row r="158" spans="1:35" x14ac:dyDescent="0.3">
      <c r="A158" s="11" t="s">
        <v>619</v>
      </c>
      <c r="B158" s="11"/>
      <c r="C158" s="11"/>
      <c r="D158" s="11"/>
      <c r="E158" s="11"/>
      <c r="F158" s="11"/>
      <c r="G158" s="11"/>
      <c r="H158" s="11"/>
      <c r="I158" s="11"/>
      <c r="J158" s="11"/>
      <c r="K158" s="12"/>
      <c r="L158" s="12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2"/>
      <c r="AD158" s="11"/>
      <c r="AE158" s="11"/>
      <c r="AF158" s="11" t="str">
        <f t="shared" si="2"/>
        <v/>
      </c>
      <c r="AG158" s="11"/>
      <c r="AH158" s="11"/>
      <c r="AI158" s="11"/>
    </row>
    <row r="159" spans="1:35" x14ac:dyDescent="0.3">
      <c r="A159" s="11" t="s">
        <v>620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2"/>
      <c r="L159" s="12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2"/>
      <c r="AD159" s="11"/>
      <c r="AE159" s="11"/>
      <c r="AF159" s="11" t="str">
        <f t="shared" si="2"/>
        <v/>
      </c>
      <c r="AG159" s="11"/>
      <c r="AH159" s="11"/>
      <c r="AI159" s="11"/>
    </row>
    <row r="160" spans="1:35" x14ac:dyDescent="0.3">
      <c r="A160" s="11" t="s">
        <v>621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2"/>
      <c r="L160" s="12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2"/>
      <c r="AD160" s="11"/>
      <c r="AE160" s="11"/>
      <c r="AF160" s="11" t="str">
        <f t="shared" si="2"/>
        <v/>
      </c>
      <c r="AG160" s="11"/>
      <c r="AH160" s="11"/>
      <c r="AI160" s="11"/>
    </row>
    <row r="161" spans="1:35" x14ac:dyDescent="0.3">
      <c r="A161" s="11" t="s">
        <v>622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2"/>
      <c r="L161" s="12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2"/>
      <c r="AD161" s="11"/>
      <c r="AE161" s="11"/>
      <c r="AF161" s="11" t="str">
        <f t="shared" si="2"/>
        <v/>
      </c>
      <c r="AG161" s="11"/>
      <c r="AH161" s="11"/>
      <c r="AI161" s="11"/>
    </row>
    <row r="162" spans="1:35" x14ac:dyDescent="0.3">
      <c r="A162" s="11" t="s">
        <v>623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2"/>
      <c r="L162" s="12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2"/>
      <c r="AD162" s="11"/>
      <c r="AE162" s="11"/>
      <c r="AF162" s="11" t="str">
        <f t="shared" si="2"/>
        <v/>
      </c>
      <c r="AG162" s="11"/>
      <c r="AH162" s="11"/>
      <c r="AI162" s="11"/>
    </row>
    <row r="163" spans="1:35" x14ac:dyDescent="0.3">
      <c r="A163" s="11" t="s">
        <v>624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2"/>
      <c r="L163" s="12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2"/>
      <c r="AD163" s="11"/>
      <c r="AE163" s="11"/>
      <c r="AF163" s="11" t="str">
        <f t="shared" si="2"/>
        <v/>
      </c>
      <c r="AG163" s="11"/>
      <c r="AH163" s="11"/>
      <c r="AI163" s="11"/>
    </row>
    <row r="164" spans="1:35" x14ac:dyDescent="0.3">
      <c r="A164" s="11" t="s">
        <v>625</v>
      </c>
      <c r="B164" s="11"/>
      <c r="C164" s="11"/>
      <c r="D164" s="11"/>
      <c r="E164" s="11"/>
      <c r="F164" s="11"/>
      <c r="G164" s="11"/>
      <c r="H164" s="11"/>
      <c r="I164" s="11"/>
      <c r="J164" s="11"/>
      <c r="K164" s="12"/>
      <c r="L164" s="12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2"/>
      <c r="AD164" s="11"/>
      <c r="AE164" s="11"/>
      <c r="AF164" s="11" t="str">
        <f t="shared" si="2"/>
        <v/>
      </c>
      <c r="AG164" s="11"/>
      <c r="AH164" s="11"/>
      <c r="AI164" s="11"/>
    </row>
    <row r="165" spans="1:35" x14ac:dyDescent="0.3">
      <c r="A165" s="11" t="s">
        <v>626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2"/>
      <c r="L165" s="12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2"/>
      <c r="AD165" s="11"/>
      <c r="AE165" s="11"/>
      <c r="AF165" s="11" t="str">
        <f t="shared" si="2"/>
        <v/>
      </c>
      <c r="AG165" s="11"/>
      <c r="AH165" s="11"/>
      <c r="AI165" s="11"/>
    </row>
    <row r="166" spans="1:35" x14ac:dyDescent="0.3">
      <c r="A166" s="11" t="s">
        <v>627</v>
      </c>
      <c r="B166" s="11"/>
      <c r="C166" s="11"/>
      <c r="D166" s="11"/>
      <c r="E166" s="11"/>
      <c r="F166" s="11"/>
      <c r="G166" s="11"/>
      <c r="H166" s="11"/>
      <c r="I166" s="11"/>
      <c r="J166" s="11"/>
      <c r="K166" s="12"/>
      <c r="L166" s="12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2"/>
      <c r="AD166" s="11"/>
      <c r="AE166" s="11"/>
      <c r="AF166" s="11" t="str">
        <f t="shared" si="2"/>
        <v/>
      </c>
      <c r="AG166" s="11"/>
      <c r="AH166" s="11"/>
      <c r="AI166" s="11"/>
    </row>
    <row r="167" spans="1:35" x14ac:dyDescent="0.3">
      <c r="A167" s="11" t="s">
        <v>628</v>
      </c>
      <c r="B167" s="11"/>
      <c r="C167" s="11"/>
      <c r="D167" s="11"/>
      <c r="E167" s="11"/>
      <c r="F167" s="11"/>
      <c r="G167" s="11"/>
      <c r="H167" s="11"/>
      <c r="I167" s="11"/>
      <c r="J167" s="11"/>
      <c r="K167" s="12"/>
      <c r="L167" s="12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2"/>
      <c r="AD167" s="11"/>
      <c r="AE167" s="11"/>
      <c r="AF167" s="11" t="str">
        <f t="shared" si="2"/>
        <v/>
      </c>
      <c r="AG167" s="11"/>
      <c r="AH167" s="11"/>
      <c r="AI167" s="11"/>
    </row>
    <row r="168" spans="1:35" x14ac:dyDescent="0.3">
      <c r="A168" s="11" t="s">
        <v>629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2"/>
      <c r="L168" s="12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2"/>
      <c r="AD168" s="11"/>
      <c r="AE168" s="11"/>
      <c r="AF168" s="11" t="str">
        <f t="shared" si="2"/>
        <v/>
      </c>
      <c r="AG168" s="11"/>
      <c r="AH168" s="11"/>
      <c r="AI168" s="11"/>
    </row>
    <row r="169" spans="1:35" x14ac:dyDescent="0.3">
      <c r="A169" s="11" t="s">
        <v>630</v>
      </c>
      <c r="B169" s="11"/>
      <c r="C169" s="11"/>
      <c r="D169" s="11"/>
      <c r="E169" s="11"/>
      <c r="F169" s="11"/>
      <c r="G169" s="11"/>
      <c r="H169" s="11"/>
      <c r="I169" s="11"/>
      <c r="J169" s="11"/>
      <c r="K169" s="12"/>
      <c r="L169" s="12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2"/>
      <c r="AD169" s="11"/>
      <c r="AE169" s="11"/>
      <c r="AF169" s="11" t="str">
        <f t="shared" si="2"/>
        <v/>
      </c>
      <c r="AG169" s="11"/>
      <c r="AH169" s="11"/>
      <c r="AI169" s="11"/>
    </row>
    <row r="170" spans="1:35" x14ac:dyDescent="0.3">
      <c r="A170" s="11" t="s">
        <v>631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2"/>
      <c r="L170" s="12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2"/>
      <c r="AD170" s="11"/>
      <c r="AE170" s="11"/>
      <c r="AF170" s="11" t="str">
        <f t="shared" si="2"/>
        <v/>
      </c>
      <c r="AG170" s="11"/>
      <c r="AH170" s="11"/>
      <c r="AI170" s="11"/>
    </row>
    <row r="171" spans="1:35" x14ac:dyDescent="0.3">
      <c r="A171" s="11" t="s">
        <v>632</v>
      </c>
      <c r="B171" s="11"/>
      <c r="C171" s="11"/>
      <c r="D171" s="11"/>
      <c r="E171" s="11"/>
      <c r="F171" s="11"/>
      <c r="G171" s="11"/>
      <c r="H171" s="11"/>
      <c r="I171" s="11"/>
      <c r="J171" s="11"/>
      <c r="K171" s="12"/>
      <c r="L171" s="12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2"/>
      <c r="AD171" s="11"/>
      <c r="AE171" s="11"/>
      <c r="AF171" s="11" t="str">
        <f t="shared" si="2"/>
        <v/>
      </c>
      <c r="AG171" s="11"/>
      <c r="AH171" s="11"/>
      <c r="AI171" s="11"/>
    </row>
    <row r="172" spans="1:35" x14ac:dyDescent="0.3">
      <c r="A172" s="11" t="s">
        <v>633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2"/>
      <c r="L172" s="12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2"/>
      <c r="AD172" s="11"/>
      <c r="AE172" s="11"/>
      <c r="AF172" s="11" t="str">
        <f t="shared" si="2"/>
        <v/>
      </c>
      <c r="AG172" s="11"/>
      <c r="AH172" s="11"/>
      <c r="AI172" s="11"/>
    </row>
    <row r="173" spans="1:35" x14ac:dyDescent="0.3">
      <c r="A173" s="11" t="s">
        <v>634</v>
      </c>
      <c r="B173" s="11"/>
      <c r="C173" s="11"/>
      <c r="D173" s="11"/>
      <c r="E173" s="11"/>
      <c r="F173" s="11"/>
      <c r="G173" s="11"/>
      <c r="H173" s="11"/>
      <c r="I173" s="11"/>
      <c r="J173" s="11"/>
      <c r="K173" s="12"/>
      <c r="L173" s="12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2"/>
      <c r="AD173" s="11"/>
      <c r="AE173" s="11"/>
      <c r="AF173" s="11" t="str">
        <f t="shared" si="2"/>
        <v/>
      </c>
      <c r="AG173" s="11"/>
      <c r="AH173" s="11"/>
      <c r="AI173" s="11"/>
    </row>
    <row r="174" spans="1:35" x14ac:dyDescent="0.3">
      <c r="A174" s="11" t="s">
        <v>635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2"/>
      <c r="L174" s="12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2"/>
      <c r="AD174" s="11"/>
      <c r="AE174" s="11"/>
      <c r="AF174" s="11" t="str">
        <f t="shared" si="2"/>
        <v/>
      </c>
      <c r="AG174" s="11"/>
      <c r="AH174" s="11"/>
      <c r="AI174" s="11"/>
    </row>
    <row r="175" spans="1:35" x14ac:dyDescent="0.3">
      <c r="A175" s="11" t="s">
        <v>636</v>
      </c>
      <c r="B175" s="11"/>
      <c r="C175" s="11"/>
      <c r="D175" s="11"/>
      <c r="E175" s="11"/>
      <c r="F175" s="11"/>
      <c r="G175" s="11"/>
      <c r="H175" s="11"/>
      <c r="I175" s="11"/>
      <c r="J175" s="11"/>
      <c r="K175" s="12"/>
      <c r="L175" s="12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2"/>
      <c r="AD175" s="11"/>
      <c r="AE175" s="11"/>
      <c r="AF175" s="11" t="str">
        <f t="shared" si="2"/>
        <v/>
      </c>
      <c r="AG175" s="11"/>
      <c r="AH175" s="11"/>
      <c r="AI175" s="11"/>
    </row>
    <row r="176" spans="1:35" x14ac:dyDescent="0.3">
      <c r="A176" s="11" t="s">
        <v>637</v>
      </c>
      <c r="B176" s="11"/>
      <c r="C176" s="11"/>
      <c r="D176" s="11"/>
      <c r="E176" s="11"/>
      <c r="F176" s="11"/>
      <c r="G176" s="11"/>
      <c r="H176" s="11"/>
      <c r="I176" s="11"/>
      <c r="J176" s="11"/>
      <c r="K176" s="12"/>
      <c r="L176" s="12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2"/>
      <c r="AD176" s="11"/>
      <c r="AE176" s="11"/>
      <c r="AF176" s="11" t="str">
        <f t="shared" si="2"/>
        <v/>
      </c>
      <c r="AG176" s="11"/>
      <c r="AH176" s="11"/>
      <c r="AI176" s="11"/>
    </row>
    <row r="177" spans="1:35" x14ac:dyDescent="0.3">
      <c r="A177" s="11" t="s">
        <v>638</v>
      </c>
      <c r="B177" s="11"/>
      <c r="C177" s="11"/>
      <c r="D177" s="11"/>
      <c r="E177" s="11"/>
      <c r="F177" s="11"/>
      <c r="G177" s="11"/>
      <c r="H177" s="11"/>
      <c r="I177" s="11"/>
      <c r="J177" s="11"/>
      <c r="K177" s="12"/>
      <c r="L177" s="12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2"/>
      <c r="AD177" s="11"/>
      <c r="AE177" s="11"/>
      <c r="AF177" s="11" t="str">
        <f t="shared" si="2"/>
        <v/>
      </c>
      <c r="AG177" s="11"/>
      <c r="AH177" s="11"/>
      <c r="AI177" s="11"/>
    </row>
    <row r="178" spans="1:35" x14ac:dyDescent="0.3">
      <c r="A178" s="11" t="s">
        <v>639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2"/>
      <c r="L178" s="12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2"/>
      <c r="AD178" s="11"/>
      <c r="AE178" s="11"/>
      <c r="AF178" s="11" t="str">
        <f t="shared" si="2"/>
        <v/>
      </c>
      <c r="AG178" s="11"/>
      <c r="AH178" s="11"/>
      <c r="AI178" s="11"/>
    </row>
    <row r="179" spans="1:35" x14ac:dyDescent="0.3">
      <c r="A179" s="11" t="s">
        <v>640</v>
      </c>
      <c r="B179" s="11"/>
      <c r="C179" s="11"/>
      <c r="D179" s="11"/>
      <c r="E179" s="11"/>
      <c r="F179" s="11"/>
      <c r="G179" s="11"/>
      <c r="H179" s="11"/>
      <c r="I179" s="11"/>
      <c r="J179" s="11"/>
      <c r="K179" s="12"/>
      <c r="L179" s="12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2"/>
      <c r="AD179" s="11"/>
      <c r="AE179" s="11"/>
      <c r="AF179" s="11" t="str">
        <f t="shared" si="2"/>
        <v/>
      </c>
      <c r="AG179" s="11"/>
      <c r="AH179" s="11"/>
      <c r="AI179" s="11"/>
    </row>
    <row r="180" spans="1:35" x14ac:dyDescent="0.3">
      <c r="A180" s="11" t="s">
        <v>641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2"/>
      <c r="L180" s="12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2"/>
      <c r="AD180" s="11"/>
      <c r="AE180" s="11"/>
      <c r="AF180" s="11" t="str">
        <f t="shared" si="2"/>
        <v/>
      </c>
      <c r="AG180" s="11"/>
      <c r="AH180" s="11"/>
      <c r="AI180" s="11"/>
    </row>
    <row r="181" spans="1:35" x14ac:dyDescent="0.3">
      <c r="A181" s="11" t="s">
        <v>642</v>
      </c>
      <c r="B181" s="11"/>
      <c r="C181" s="11"/>
      <c r="D181" s="11"/>
      <c r="E181" s="11"/>
      <c r="F181" s="11"/>
      <c r="G181" s="11"/>
      <c r="H181" s="11"/>
      <c r="I181" s="11"/>
      <c r="J181" s="11"/>
      <c r="K181" s="12"/>
      <c r="L181" s="12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2"/>
      <c r="AD181" s="11"/>
      <c r="AE181" s="11"/>
      <c r="AF181" s="11" t="str">
        <f t="shared" si="2"/>
        <v/>
      </c>
      <c r="AG181" s="11"/>
      <c r="AH181" s="11"/>
      <c r="AI181" s="11"/>
    </row>
    <row r="182" spans="1:35" x14ac:dyDescent="0.3">
      <c r="A182" s="11" t="s">
        <v>643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2"/>
      <c r="L182" s="12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2"/>
      <c r="AD182" s="11"/>
      <c r="AE182" s="11"/>
      <c r="AF182" s="11" t="str">
        <f t="shared" si="2"/>
        <v/>
      </c>
      <c r="AG182" s="11"/>
      <c r="AH182" s="11"/>
      <c r="AI182" s="11"/>
    </row>
    <row r="183" spans="1:35" x14ac:dyDescent="0.3">
      <c r="A183" s="11" t="s">
        <v>644</v>
      </c>
      <c r="B183" s="11"/>
      <c r="C183" s="11"/>
      <c r="D183" s="11"/>
      <c r="E183" s="11"/>
      <c r="F183" s="11"/>
      <c r="G183" s="11"/>
      <c r="H183" s="11"/>
      <c r="I183" s="11"/>
      <c r="J183" s="11"/>
      <c r="K183" s="12"/>
      <c r="L183" s="12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2"/>
      <c r="AD183" s="11"/>
      <c r="AE183" s="11"/>
      <c r="AF183" s="11" t="str">
        <f t="shared" si="2"/>
        <v/>
      </c>
      <c r="AG183" s="11"/>
      <c r="AH183" s="11"/>
      <c r="AI183" s="11"/>
    </row>
    <row r="184" spans="1:35" x14ac:dyDescent="0.3">
      <c r="A184" s="11" t="s">
        <v>645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2"/>
      <c r="L184" s="12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2"/>
      <c r="AD184" s="11"/>
      <c r="AE184" s="11"/>
      <c r="AF184" s="11" t="str">
        <f t="shared" si="2"/>
        <v/>
      </c>
      <c r="AG184" s="11"/>
      <c r="AH184" s="11"/>
      <c r="AI184" s="11"/>
    </row>
    <row r="185" spans="1:35" x14ac:dyDescent="0.3">
      <c r="A185" s="11" t="s">
        <v>646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2"/>
      <c r="L185" s="12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2"/>
      <c r="AD185" s="11"/>
      <c r="AE185" s="11"/>
      <c r="AF185" s="11" t="str">
        <f t="shared" si="2"/>
        <v/>
      </c>
      <c r="AG185" s="11"/>
      <c r="AH185" s="11"/>
      <c r="AI185" s="11"/>
    </row>
    <row r="186" spans="1:35" x14ac:dyDescent="0.3">
      <c r="A186" s="11" t="s">
        <v>647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2"/>
      <c r="L186" s="12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2"/>
      <c r="AD186" s="11"/>
      <c r="AE186" s="11"/>
      <c r="AF186" s="11" t="str">
        <f t="shared" si="2"/>
        <v/>
      </c>
      <c r="AG186" s="11"/>
      <c r="AH186" s="11"/>
      <c r="AI186" s="11"/>
    </row>
    <row r="187" spans="1:35" x14ac:dyDescent="0.3">
      <c r="A187" s="11" t="s">
        <v>648</v>
      </c>
      <c r="B187" s="11"/>
      <c r="C187" s="11"/>
      <c r="D187" s="11"/>
      <c r="E187" s="11"/>
      <c r="F187" s="11"/>
      <c r="G187" s="11"/>
      <c r="H187" s="11"/>
      <c r="I187" s="11"/>
      <c r="J187" s="11"/>
      <c r="K187" s="12"/>
      <c r="L187" s="12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2"/>
      <c r="AD187" s="11"/>
      <c r="AE187" s="11"/>
      <c r="AF187" s="11" t="str">
        <f t="shared" si="2"/>
        <v/>
      </c>
      <c r="AG187" s="11"/>
      <c r="AH187" s="11"/>
      <c r="AI187" s="11"/>
    </row>
    <row r="188" spans="1:35" x14ac:dyDescent="0.3">
      <c r="A188" s="11" t="s">
        <v>649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2"/>
      <c r="L188" s="12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2"/>
      <c r="AD188" s="11"/>
      <c r="AE188" s="11"/>
      <c r="AF188" s="11" t="str">
        <f t="shared" si="2"/>
        <v/>
      </c>
      <c r="AG188" s="11"/>
      <c r="AH188" s="11"/>
      <c r="AI188" s="11"/>
    </row>
    <row r="189" spans="1:35" x14ac:dyDescent="0.3">
      <c r="A189" s="11" t="s">
        <v>650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2"/>
      <c r="L189" s="12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2"/>
      <c r="AD189" s="11"/>
      <c r="AE189" s="11"/>
      <c r="AF189" s="11" t="str">
        <f t="shared" si="2"/>
        <v/>
      </c>
      <c r="AG189" s="11"/>
      <c r="AH189" s="11"/>
      <c r="AI189" s="11"/>
    </row>
    <row r="190" spans="1:35" x14ac:dyDescent="0.3">
      <c r="A190" s="11" t="s">
        <v>651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2"/>
      <c r="L190" s="12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2"/>
      <c r="AD190" s="11"/>
      <c r="AE190" s="11"/>
      <c r="AF190" s="11" t="str">
        <f t="shared" si="2"/>
        <v/>
      </c>
      <c r="AG190" s="11"/>
      <c r="AH190" s="11"/>
      <c r="AI190" s="11"/>
    </row>
    <row r="191" spans="1:35" x14ac:dyDescent="0.3">
      <c r="A191" s="11" t="s">
        <v>652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2"/>
      <c r="L191" s="12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2"/>
      <c r="AD191" s="11"/>
      <c r="AE191" s="11"/>
      <c r="AF191" s="11" t="str">
        <f t="shared" si="2"/>
        <v/>
      </c>
      <c r="AG191" s="11"/>
      <c r="AH191" s="11"/>
      <c r="AI191" s="11"/>
    </row>
    <row r="192" spans="1:35" x14ac:dyDescent="0.3">
      <c r="A192" s="11" t="s">
        <v>653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2"/>
      <c r="L192" s="12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2"/>
      <c r="AD192" s="11"/>
      <c r="AE192" s="11"/>
      <c r="AF192" s="11" t="str">
        <f t="shared" si="2"/>
        <v/>
      </c>
      <c r="AG192" s="11"/>
      <c r="AH192" s="11"/>
      <c r="AI192" s="11"/>
    </row>
    <row r="193" spans="1:35" x14ac:dyDescent="0.3">
      <c r="A193" s="11" t="s">
        <v>654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2"/>
      <c r="L193" s="12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2"/>
      <c r="AD193" s="11"/>
      <c r="AE193" s="11"/>
      <c r="AF193" s="11" t="str">
        <f t="shared" si="2"/>
        <v/>
      </c>
      <c r="AG193" s="11"/>
      <c r="AH193" s="11"/>
      <c r="AI193" s="11"/>
    </row>
    <row r="194" spans="1:35" x14ac:dyDescent="0.3">
      <c r="A194" s="11" t="s">
        <v>655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2"/>
      <c r="L194" s="12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2"/>
      <c r="AD194" s="11"/>
      <c r="AE194" s="11"/>
      <c r="AF194" s="11" t="str">
        <f t="shared" si="2"/>
        <v/>
      </c>
      <c r="AG194" s="11"/>
      <c r="AH194" s="11"/>
      <c r="AI194" s="11"/>
    </row>
    <row r="195" spans="1:35" x14ac:dyDescent="0.3">
      <c r="A195" s="11" t="s">
        <v>656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2"/>
      <c r="L195" s="12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2"/>
      <c r="AD195" s="11"/>
      <c r="AE195" s="11"/>
      <c r="AF195" s="11" t="str">
        <f t="shared" si="2"/>
        <v/>
      </c>
      <c r="AG195" s="11"/>
      <c r="AH195" s="11"/>
      <c r="AI195" s="11"/>
    </row>
    <row r="196" spans="1:35" x14ac:dyDescent="0.3">
      <c r="A196" s="11" t="s">
        <v>657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2"/>
      <c r="L196" s="12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2"/>
      <c r="AD196" s="11"/>
      <c r="AE196" s="11"/>
      <c r="AF196" s="11" t="str">
        <f t="shared" si="2"/>
        <v/>
      </c>
      <c r="AG196" s="11"/>
      <c r="AH196" s="11"/>
      <c r="AI196" s="11"/>
    </row>
    <row r="197" spans="1:35" x14ac:dyDescent="0.3">
      <c r="A197" s="11" t="s">
        <v>658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2"/>
      <c r="L197" s="12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2"/>
      <c r="AD197" s="11"/>
      <c r="AE197" s="11"/>
      <c r="AF197" s="11" t="str">
        <f t="shared" ref="AF197:AF260" si="3">IF($H197="","",IF($T197="To find","Not started",IF(($C197="")+($D197="")+($E197="")+($G197="")+($I197="")+($M197="")+($O197="")+($S197="")&gt;0,"Missing basic details",IF(AND($T197="Downloaded",($R197="")+($U197="")+($V197="")+(($W197="")*(RIGHT(LOWER($U197),4)=".pdf"))&gt;0),"Add file details",IF(AND($T197="Downloaded",LEN($X197)&lt;&gt;64),"Check SHA-256",IF(AND($Q197="",$R197=""),"Add a URL",IF($S197="No","Not official - replace",IF($M197="Not verified","Verify status","OK"))))))))</f>
        <v/>
      </c>
      <c r="AG197" s="11"/>
      <c r="AH197" s="11"/>
      <c r="AI197" s="11"/>
    </row>
    <row r="198" spans="1:35" x14ac:dyDescent="0.3">
      <c r="A198" s="11" t="s">
        <v>659</v>
      </c>
      <c r="B198" s="11"/>
      <c r="C198" s="11"/>
      <c r="D198" s="11"/>
      <c r="E198" s="11"/>
      <c r="F198" s="11"/>
      <c r="G198" s="11"/>
      <c r="H198" s="11"/>
      <c r="I198" s="11"/>
      <c r="J198" s="11"/>
      <c r="K198" s="12"/>
      <c r="L198" s="12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2"/>
      <c r="AD198" s="11"/>
      <c r="AE198" s="11"/>
      <c r="AF198" s="11" t="str">
        <f t="shared" si="3"/>
        <v/>
      </c>
      <c r="AG198" s="11"/>
      <c r="AH198" s="11"/>
      <c r="AI198" s="11"/>
    </row>
    <row r="199" spans="1:35" x14ac:dyDescent="0.3">
      <c r="A199" s="11" t="s">
        <v>660</v>
      </c>
      <c r="B199" s="11"/>
      <c r="C199" s="11"/>
      <c r="D199" s="11"/>
      <c r="E199" s="11"/>
      <c r="F199" s="11"/>
      <c r="G199" s="11"/>
      <c r="H199" s="11"/>
      <c r="I199" s="11"/>
      <c r="J199" s="11"/>
      <c r="K199" s="12"/>
      <c r="L199" s="12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2"/>
      <c r="AD199" s="11"/>
      <c r="AE199" s="11"/>
      <c r="AF199" s="11" t="str">
        <f t="shared" si="3"/>
        <v/>
      </c>
      <c r="AG199" s="11"/>
      <c r="AH199" s="11"/>
      <c r="AI199" s="11"/>
    </row>
    <row r="200" spans="1:35" x14ac:dyDescent="0.3">
      <c r="A200" s="11" t="s">
        <v>661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2"/>
      <c r="L200" s="12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2"/>
      <c r="AD200" s="11"/>
      <c r="AE200" s="11"/>
      <c r="AF200" s="11" t="str">
        <f t="shared" si="3"/>
        <v/>
      </c>
      <c r="AG200" s="11"/>
      <c r="AH200" s="11"/>
      <c r="AI200" s="11"/>
    </row>
    <row r="201" spans="1:35" x14ac:dyDescent="0.3">
      <c r="A201" s="11" t="s">
        <v>662</v>
      </c>
      <c r="B201" s="11"/>
      <c r="C201" s="11"/>
      <c r="D201" s="11"/>
      <c r="E201" s="11"/>
      <c r="F201" s="11"/>
      <c r="G201" s="11"/>
      <c r="H201" s="11"/>
      <c r="I201" s="11"/>
      <c r="J201" s="11"/>
      <c r="K201" s="12"/>
      <c r="L201" s="12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2"/>
      <c r="AD201" s="11"/>
      <c r="AE201" s="11"/>
      <c r="AF201" s="11" t="str">
        <f t="shared" si="3"/>
        <v/>
      </c>
      <c r="AG201" s="11"/>
      <c r="AH201" s="11"/>
      <c r="AI201" s="11"/>
    </row>
    <row r="202" spans="1:35" x14ac:dyDescent="0.3">
      <c r="A202" s="11" t="s">
        <v>663</v>
      </c>
      <c r="B202" s="11"/>
      <c r="C202" s="11"/>
      <c r="D202" s="11"/>
      <c r="E202" s="11"/>
      <c r="F202" s="11"/>
      <c r="G202" s="11"/>
      <c r="H202" s="11"/>
      <c r="I202" s="11"/>
      <c r="J202" s="11"/>
      <c r="K202" s="12"/>
      <c r="L202" s="12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2"/>
      <c r="AD202" s="11"/>
      <c r="AE202" s="11"/>
      <c r="AF202" s="11" t="str">
        <f t="shared" si="3"/>
        <v/>
      </c>
      <c r="AG202" s="11"/>
      <c r="AH202" s="11"/>
      <c r="AI202" s="11"/>
    </row>
    <row r="203" spans="1:35" x14ac:dyDescent="0.3">
      <c r="A203" s="11" t="s">
        <v>664</v>
      </c>
      <c r="B203" s="11"/>
      <c r="C203" s="11"/>
      <c r="D203" s="11"/>
      <c r="E203" s="11"/>
      <c r="F203" s="11"/>
      <c r="G203" s="11"/>
      <c r="H203" s="11"/>
      <c r="I203" s="11"/>
      <c r="J203" s="11"/>
      <c r="K203" s="12"/>
      <c r="L203" s="12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2"/>
      <c r="AD203" s="11"/>
      <c r="AE203" s="11"/>
      <c r="AF203" s="11" t="str">
        <f t="shared" si="3"/>
        <v/>
      </c>
      <c r="AG203" s="11"/>
      <c r="AH203" s="11"/>
      <c r="AI203" s="11"/>
    </row>
    <row r="204" spans="1:35" x14ac:dyDescent="0.3">
      <c r="A204" s="11" t="s">
        <v>665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2"/>
      <c r="L204" s="12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2"/>
      <c r="AD204" s="11"/>
      <c r="AE204" s="11"/>
      <c r="AF204" s="11" t="str">
        <f t="shared" si="3"/>
        <v/>
      </c>
      <c r="AG204" s="11"/>
      <c r="AH204" s="11"/>
      <c r="AI204" s="11"/>
    </row>
    <row r="205" spans="1:35" x14ac:dyDescent="0.3">
      <c r="A205" s="11" t="s">
        <v>666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2"/>
      <c r="L205" s="12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2"/>
      <c r="AD205" s="11"/>
      <c r="AE205" s="11"/>
      <c r="AF205" s="11" t="str">
        <f t="shared" si="3"/>
        <v/>
      </c>
      <c r="AG205" s="11"/>
      <c r="AH205" s="11"/>
      <c r="AI205" s="11"/>
    </row>
    <row r="206" spans="1:35" x14ac:dyDescent="0.3">
      <c r="A206" s="11" t="s">
        <v>667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2"/>
      <c r="L206" s="12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2"/>
      <c r="AD206" s="11"/>
      <c r="AE206" s="11"/>
      <c r="AF206" s="11" t="str">
        <f t="shared" si="3"/>
        <v/>
      </c>
      <c r="AG206" s="11"/>
      <c r="AH206" s="11"/>
      <c r="AI206" s="11"/>
    </row>
    <row r="207" spans="1:35" x14ac:dyDescent="0.3">
      <c r="A207" s="11" t="s">
        <v>668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2"/>
      <c r="L207" s="12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2"/>
      <c r="AD207" s="11"/>
      <c r="AE207" s="11"/>
      <c r="AF207" s="11" t="str">
        <f t="shared" si="3"/>
        <v/>
      </c>
      <c r="AG207" s="11"/>
      <c r="AH207" s="11"/>
      <c r="AI207" s="11"/>
    </row>
    <row r="208" spans="1:35" x14ac:dyDescent="0.3">
      <c r="A208" s="11" t="s">
        <v>669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2"/>
      <c r="L208" s="12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2"/>
      <c r="AD208" s="11"/>
      <c r="AE208" s="11"/>
      <c r="AF208" s="11" t="str">
        <f t="shared" si="3"/>
        <v/>
      </c>
      <c r="AG208" s="11"/>
      <c r="AH208" s="11"/>
      <c r="AI208" s="11"/>
    </row>
    <row r="209" spans="1:35" x14ac:dyDescent="0.3">
      <c r="A209" s="11" t="s">
        <v>670</v>
      </c>
      <c r="B209" s="11"/>
      <c r="C209" s="11"/>
      <c r="D209" s="11"/>
      <c r="E209" s="11"/>
      <c r="F209" s="11"/>
      <c r="G209" s="11"/>
      <c r="H209" s="11"/>
      <c r="I209" s="11"/>
      <c r="J209" s="11"/>
      <c r="K209" s="12"/>
      <c r="L209" s="12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2"/>
      <c r="AD209" s="11"/>
      <c r="AE209" s="11"/>
      <c r="AF209" s="11" t="str">
        <f t="shared" si="3"/>
        <v/>
      </c>
      <c r="AG209" s="11"/>
      <c r="AH209" s="11"/>
      <c r="AI209" s="11"/>
    </row>
    <row r="210" spans="1:35" x14ac:dyDescent="0.3">
      <c r="A210" s="11" t="s">
        <v>671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2"/>
      <c r="L210" s="12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2"/>
      <c r="AD210" s="11"/>
      <c r="AE210" s="11"/>
      <c r="AF210" s="11" t="str">
        <f t="shared" si="3"/>
        <v/>
      </c>
      <c r="AG210" s="11"/>
      <c r="AH210" s="11"/>
      <c r="AI210" s="11"/>
    </row>
    <row r="211" spans="1:35" x14ac:dyDescent="0.3">
      <c r="A211" s="11" t="s">
        <v>672</v>
      </c>
      <c r="B211" s="11"/>
      <c r="C211" s="11"/>
      <c r="D211" s="11"/>
      <c r="E211" s="11"/>
      <c r="F211" s="11"/>
      <c r="G211" s="11"/>
      <c r="H211" s="11"/>
      <c r="I211" s="11"/>
      <c r="J211" s="11"/>
      <c r="K211" s="12"/>
      <c r="L211" s="12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2"/>
      <c r="AD211" s="11"/>
      <c r="AE211" s="11"/>
      <c r="AF211" s="11" t="str">
        <f t="shared" si="3"/>
        <v/>
      </c>
      <c r="AG211" s="11"/>
      <c r="AH211" s="11"/>
      <c r="AI211" s="11"/>
    </row>
    <row r="212" spans="1:35" x14ac:dyDescent="0.3">
      <c r="A212" s="11" t="s">
        <v>673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2"/>
      <c r="L212" s="12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2"/>
      <c r="AD212" s="11"/>
      <c r="AE212" s="11"/>
      <c r="AF212" s="11" t="str">
        <f t="shared" si="3"/>
        <v/>
      </c>
      <c r="AG212" s="11"/>
      <c r="AH212" s="11"/>
      <c r="AI212" s="11"/>
    </row>
    <row r="213" spans="1:35" x14ac:dyDescent="0.3">
      <c r="A213" s="11" t="s">
        <v>674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2"/>
      <c r="L213" s="12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2"/>
      <c r="AD213" s="11"/>
      <c r="AE213" s="11"/>
      <c r="AF213" s="11" t="str">
        <f t="shared" si="3"/>
        <v/>
      </c>
      <c r="AG213" s="11"/>
      <c r="AH213" s="11"/>
      <c r="AI213" s="11"/>
    </row>
    <row r="214" spans="1:35" x14ac:dyDescent="0.3">
      <c r="A214" s="11" t="s">
        <v>675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2"/>
      <c r="L214" s="12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2"/>
      <c r="AD214" s="11"/>
      <c r="AE214" s="11"/>
      <c r="AF214" s="11" t="str">
        <f t="shared" si="3"/>
        <v/>
      </c>
      <c r="AG214" s="11"/>
      <c r="AH214" s="11"/>
      <c r="AI214" s="11"/>
    </row>
    <row r="215" spans="1:35" x14ac:dyDescent="0.3">
      <c r="A215" s="11" t="s">
        <v>676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2"/>
      <c r="L215" s="12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2"/>
      <c r="AD215" s="11"/>
      <c r="AE215" s="11"/>
      <c r="AF215" s="11" t="str">
        <f t="shared" si="3"/>
        <v/>
      </c>
      <c r="AG215" s="11"/>
      <c r="AH215" s="11"/>
      <c r="AI215" s="11"/>
    </row>
    <row r="216" spans="1:35" x14ac:dyDescent="0.3">
      <c r="A216" s="11" t="s">
        <v>677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2"/>
      <c r="L216" s="12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2"/>
      <c r="AD216" s="11"/>
      <c r="AE216" s="11"/>
      <c r="AF216" s="11" t="str">
        <f t="shared" si="3"/>
        <v/>
      </c>
      <c r="AG216" s="11"/>
      <c r="AH216" s="11"/>
      <c r="AI216" s="11"/>
    </row>
    <row r="217" spans="1:35" x14ac:dyDescent="0.3">
      <c r="A217" s="11" t="s">
        <v>678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2"/>
      <c r="L217" s="12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2"/>
      <c r="AD217" s="11"/>
      <c r="AE217" s="11"/>
      <c r="AF217" s="11" t="str">
        <f t="shared" si="3"/>
        <v/>
      </c>
      <c r="AG217" s="11"/>
      <c r="AH217" s="11"/>
      <c r="AI217" s="11"/>
    </row>
    <row r="218" spans="1:35" x14ac:dyDescent="0.3">
      <c r="A218" s="11" t="s">
        <v>679</v>
      </c>
      <c r="B218" s="11"/>
      <c r="C218" s="11"/>
      <c r="D218" s="11"/>
      <c r="E218" s="11"/>
      <c r="F218" s="11"/>
      <c r="G218" s="11"/>
      <c r="H218" s="11"/>
      <c r="I218" s="11"/>
      <c r="J218" s="11"/>
      <c r="K218" s="12"/>
      <c r="L218" s="12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2"/>
      <c r="AD218" s="11"/>
      <c r="AE218" s="11"/>
      <c r="AF218" s="11" t="str">
        <f t="shared" si="3"/>
        <v/>
      </c>
      <c r="AG218" s="11"/>
      <c r="AH218" s="11"/>
      <c r="AI218" s="11"/>
    </row>
    <row r="219" spans="1:35" x14ac:dyDescent="0.3">
      <c r="A219" s="11" t="s">
        <v>680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2"/>
      <c r="L219" s="12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2"/>
      <c r="AD219" s="11"/>
      <c r="AE219" s="11"/>
      <c r="AF219" s="11" t="str">
        <f t="shared" si="3"/>
        <v/>
      </c>
      <c r="AG219" s="11"/>
      <c r="AH219" s="11"/>
      <c r="AI219" s="11"/>
    </row>
    <row r="220" spans="1:35" x14ac:dyDescent="0.3">
      <c r="A220" s="11" t="s">
        <v>681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2"/>
      <c r="L220" s="12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2"/>
      <c r="AD220" s="11"/>
      <c r="AE220" s="11"/>
      <c r="AF220" s="11" t="str">
        <f t="shared" si="3"/>
        <v/>
      </c>
      <c r="AG220" s="11"/>
      <c r="AH220" s="11"/>
      <c r="AI220" s="11"/>
    </row>
    <row r="221" spans="1:35" x14ac:dyDescent="0.3">
      <c r="A221" s="11" t="s">
        <v>682</v>
      </c>
      <c r="B221" s="11"/>
      <c r="C221" s="11"/>
      <c r="D221" s="11"/>
      <c r="E221" s="11"/>
      <c r="F221" s="11"/>
      <c r="G221" s="11"/>
      <c r="H221" s="11"/>
      <c r="I221" s="11"/>
      <c r="J221" s="11"/>
      <c r="K221" s="12"/>
      <c r="L221" s="12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2"/>
      <c r="AD221" s="11"/>
      <c r="AE221" s="11"/>
      <c r="AF221" s="11" t="str">
        <f t="shared" si="3"/>
        <v/>
      </c>
      <c r="AG221" s="11"/>
      <c r="AH221" s="11"/>
      <c r="AI221" s="11"/>
    </row>
    <row r="222" spans="1:35" x14ac:dyDescent="0.3">
      <c r="A222" s="11" t="s">
        <v>683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2"/>
      <c r="L222" s="12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2"/>
      <c r="AD222" s="11"/>
      <c r="AE222" s="11"/>
      <c r="AF222" s="11" t="str">
        <f t="shared" si="3"/>
        <v/>
      </c>
      <c r="AG222" s="11"/>
      <c r="AH222" s="11"/>
      <c r="AI222" s="11"/>
    </row>
    <row r="223" spans="1:35" x14ac:dyDescent="0.3">
      <c r="A223" s="11" t="s">
        <v>684</v>
      </c>
      <c r="B223" s="11"/>
      <c r="C223" s="11"/>
      <c r="D223" s="11"/>
      <c r="E223" s="11"/>
      <c r="F223" s="11"/>
      <c r="G223" s="11"/>
      <c r="H223" s="11"/>
      <c r="I223" s="11"/>
      <c r="J223" s="11"/>
      <c r="K223" s="12"/>
      <c r="L223" s="12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2"/>
      <c r="AD223" s="11"/>
      <c r="AE223" s="11"/>
      <c r="AF223" s="11" t="str">
        <f t="shared" si="3"/>
        <v/>
      </c>
      <c r="AG223" s="11"/>
      <c r="AH223" s="11"/>
      <c r="AI223" s="11"/>
    </row>
    <row r="224" spans="1:35" x14ac:dyDescent="0.3">
      <c r="A224" s="11" t="s">
        <v>685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2"/>
      <c r="L224" s="12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2"/>
      <c r="AD224" s="11"/>
      <c r="AE224" s="11"/>
      <c r="AF224" s="11" t="str">
        <f t="shared" si="3"/>
        <v/>
      </c>
      <c r="AG224" s="11"/>
      <c r="AH224" s="11"/>
      <c r="AI224" s="11"/>
    </row>
    <row r="225" spans="1:35" x14ac:dyDescent="0.3">
      <c r="A225" s="11" t="s">
        <v>686</v>
      </c>
      <c r="B225" s="11"/>
      <c r="C225" s="11"/>
      <c r="D225" s="11"/>
      <c r="E225" s="11"/>
      <c r="F225" s="11"/>
      <c r="G225" s="11"/>
      <c r="H225" s="11"/>
      <c r="I225" s="11"/>
      <c r="J225" s="11"/>
      <c r="K225" s="12"/>
      <c r="L225" s="12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2"/>
      <c r="AD225" s="11"/>
      <c r="AE225" s="11"/>
      <c r="AF225" s="11" t="str">
        <f t="shared" si="3"/>
        <v/>
      </c>
      <c r="AG225" s="11"/>
      <c r="AH225" s="11"/>
      <c r="AI225" s="11"/>
    </row>
    <row r="226" spans="1:35" x14ac:dyDescent="0.3">
      <c r="A226" s="11" t="s">
        <v>687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2"/>
      <c r="L226" s="12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2"/>
      <c r="AD226" s="11"/>
      <c r="AE226" s="11"/>
      <c r="AF226" s="11" t="str">
        <f t="shared" si="3"/>
        <v/>
      </c>
      <c r="AG226" s="11"/>
      <c r="AH226" s="11"/>
      <c r="AI226" s="11"/>
    </row>
    <row r="227" spans="1:35" x14ac:dyDescent="0.3">
      <c r="A227" s="11" t="s">
        <v>688</v>
      </c>
      <c r="B227" s="11"/>
      <c r="C227" s="11"/>
      <c r="D227" s="11"/>
      <c r="E227" s="11"/>
      <c r="F227" s="11"/>
      <c r="G227" s="11"/>
      <c r="H227" s="11"/>
      <c r="I227" s="11"/>
      <c r="J227" s="11"/>
      <c r="K227" s="12"/>
      <c r="L227" s="12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2"/>
      <c r="AD227" s="11"/>
      <c r="AE227" s="11"/>
      <c r="AF227" s="11" t="str">
        <f t="shared" si="3"/>
        <v/>
      </c>
      <c r="AG227" s="11"/>
      <c r="AH227" s="11"/>
      <c r="AI227" s="11"/>
    </row>
    <row r="228" spans="1:35" x14ac:dyDescent="0.3">
      <c r="A228" s="11" t="s">
        <v>689</v>
      </c>
      <c r="B228" s="11"/>
      <c r="C228" s="11"/>
      <c r="D228" s="11"/>
      <c r="E228" s="11"/>
      <c r="F228" s="11"/>
      <c r="G228" s="11"/>
      <c r="H228" s="11"/>
      <c r="I228" s="11"/>
      <c r="J228" s="11"/>
      <c r="K228" s="12"/>
      <c r="L228" s="12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2"/>
      <c r="AD228" s="11"/>
      <c r="AE228" s="11"/>
      <c r="AF228" s="11" t="str">
        <f t="shared" si="3"/>
        <v/>
      </c>
      <c r="AG228" s="11"/>
      <c r="AH228" s="11"/>
      <c r="AI228" s="11"/>
    </row>
    <row r="229" spans="1:35" x14ac:dyDescent="0.3">
      <c r="A229" s="11" t="s">
        <v>690</v>
      </c>
      <c r="B229" s="11"/>
      <c r="C229" s="11"/>
      <c r="D229" s="11"/>
      <c r="E229" s="11"/>
      <c r="F229" s="11"/>
      <c r="G229" s="11"/>
      <c r="H229" s="11"/>
      <c r="I229" s="11"/>
      <c r="J229" s="11"/>
      <c r="K229" s="12"/>
      <c r="L229" s="12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2"/>
      <c r="AD229" s="11"/>
      <c r="AE229" s="11"/>
      <c r="AF229" s="11" t="str">
        <f t="shared" si="3"/>
        <v/>
      </c>
      <c r="AG229" s="11"/>
      <c r="AH229" s="11"/>
      <c r="AI229" s="11"/>
    </row>
    <row r="230" spans="1:35" x14ac:dyDescent="0.3">
      <c r="A230" s="11" t="s">
        <v>691</v>
      </c>
      <c r="B230" s="11"/>
      <c r="C230" s="11"/>
      <c r="D230" s="11"/>
      <c r="E230" s="11"/>
      <c r="F230" s="11"/>
      <c r="G230" s="11"/>
      <c r="H230" s="11"/>
      <c r="I230" s="11"/>
      <c r="J230" s="11"/>
      <c r="K230" s="12"/>
      <c r="L230" s="12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2"/>
      <c r="AD230" s="11"/>
      <c r="AE230" s="11"/>
      <c r="AF230" s="11" t="str">
        <f t="shared" si="3"/>
        <v/>
      </c>
      <c r="AG230" s="11"/>
      <c r="AH230" s="11"/>
      <c r="AI230" s="11"/>
    </row>
    <row r="231" spans="1:35" x14ac:dyDescent="0.3">
      <c r="A231" s="11" t="s">
        <v>692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2"/>
      <c r="L231" s="12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2"/>
      <c r="AD231" s="11"/>
      <c r="AE231" s="11"/>
      <c r="AF231" s="11" t="str">
        <f t="shared" si="3"/>
        <v/>
      </c>
      <c r="AG231" s="11"/>
      <c r="AH231" s="11"/>
      <c r="AI231" s="11"/>
    </row>
    <row r="232" spans="1:35" x14ac:dyDescent="0.3">
      <c r="A232" s="11" t="s">
        <v>693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2"/>
      <c r="L232" s="12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2"/>
      <c r="AD232" s="11"/>
      <c r="AE232" s="11"/>
      <c r="AF232" s="11" t="str">
        <f t="shared" si="3"/>
        <v/>
      </c>
      <c r="AG232" s="11"/>
      <c r="AH232" s="11"/>
      <c r="AI232" s="11"/>
    </row>
    <row r="233" spans="1:35" x14ac:dyDescent="0.3">
      <c r="A233" s="11" t="s">
        <v>694</v>
      </c>
      <c r="B233" s="11"/>
      <c r="C233" s="11"/>
      <c r="D233" s="11"/>
      <c r="E233" s="11"/>
      <c r="F233" s="11"/>
      <c r="G233" s="11"/>
      <c r="H233" s="11"/>
      <c r="I233" s="11"/>
      <c r="J233" s="11"/>
      <c r="K233" s="12"/>
      <c r="L233" s="12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2"/>
      <c r="AD233" s="11"/>
      <c r="AE233" s="11"/>
      <c r="AF233" s="11" t="str">
        <f t="shared" si="3"/>
        <v/>
      </c>
      <c r="AG233" s="11"/>
      <c r="AH233" s="11"/>
      <c r="AI233" s="11"/>
    </row>
    <row r="234" spans="1:35" x14ac:dyDescent="0.3">
      <c r="A234" s="11" t="s">
        <v>695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2"/>
      <c r="L234" s="12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2"/>
      <c r="AD234" s="11"/>
      <c r="AE234" s="11"/>
      <c r="AF234" s="11" t="str">
        <f t="shared" si="3"/>
        <v/>
      </c>
      <c r="AG234" s="11"/>
      <c r="AH234" s="11"/>
      <c r="AI234" s="11"/>
    </row>
    <row r="235" spans="1:35" x14ac:dyDescent="0.3">
      <c r="A235" s="11" t="s">
        <v>696</v>
      </c>
      <c r="B235" s="11"/>
      <c r="C235" s="11"/>
      <c r="D235" s="11"/>
      <c r="E235" s="11"/>
      <c r="F235" s="11"/>
      <c r="G235" s="11"/>
      <c r="H235" s="11"/>
      <c r="I235" s="11"/>
      <c r="J235" s="11"/>
      <c r="K235" s="12"/>
      <c r="L235" s="12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2"/>
      <c r="AD235" s="11"/>
      <c r="AE235" s="11"/>
      <c r="AF235" s="11" t="str">
        <f t="shared" si="3"/>
        <v/>
      </c>
      <c r="AG235" s="11"/>
      <c r="AH235" s="11"/>
      <c r="AI235" s="11"/>
    </row>
    <row r="236" spans="1:35" x14ac:dyDescent="0.3">
      <c r="A236" s="11" t="s">
        <v>697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2"/>
      <c r="L236" s="12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2"/>
      <c r="AD236" s="11"/>
      <c r="AE236" s="11"/>
      <c r="AF236" s="11" t="str">
        <f t="shared" si="3"/>
        <v/>
      </c>
      <c r="AG236" s="11"/>
      <c r="AH236" s="11"/>
      <c r="AI236" s="11"/>
    </row>
    <row r="237" spans="1:35" x14ac:dyDescent="0.3">
      <c r="A237" s="11" t="s">
        <v>698</v>
      </c>
      <c r="B237" s="11"/>
      <c r="C237" s="11"/>
      <c r="D237" s="11"/>
      <c r="E237" s="11"/>
      <c r="F237" s="11"/>
      <c r="G237" s="11"/>
      <c r="H237" s="11"/>
      <c r="I237" s="11"/>
      <c r="J237" s="11"/>
      <c r="K237" s="12"/>
      <c r="L237" s="12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2"/>
      <c r="AD237" s="11"/>
      <c r="AE237" s="11"/>
      <c r="AF237" s="11" t="str">
        <f t="shared" si="3"/>
        <v/>
      </c>
      <c r="AG237" s="11"/>
      <c r="AH237" s="11"/>
      <c r="AI237" s="11"/>
    </row>
    <row r="238" spans="1:35" x14ac:dyDescent="0.3">
      <c r="A238" s="11" t="s">
        <v>699</v>
      </c>
      <c r="B238" s="11"/>
      <c r="C238" s="11"/>
      <c r="D238" s="11"/>
      <c r="E238" s="11"/>
      <c r="F238" s="11"/>
      <c r="G238" s="11"/>
      <c r="H238" s="11"/>
      <c r="I238" s="11"/>
      <c r="J238" s="11"/>
      <c r="K238" s="12"/>
      <c r="L238" s="12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2"/>
      <c r="AD238" s="11"/>
      <c r="AE238" s="11"/>
      <c r="AF238" s="11" t="str">
        <f t="shared" si="3"/>
        <v/>
      </c>
      <c r="AG238" s="11"/>
      <c r="AH238" s="11"/>
      <c r="AI238" s="11"/>
    </row>
    <row r="239" spans="1:35" x14ac:dyDescent="0.3">
      <c r="A239" s="11" t="s">
        <v>700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2"/>
      <c r="L239" s="12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2"/>
      <c r="AD239" s="11"/>
      <c r="AE239" s="11"/>
      <c r="AF239" s="11" t="str">
        <f t="shared" si="3"/>
        <v/>
      </c>
      <c r="AG239" s="11"/>
      <c r="AH239" s="11"/>
      <c r="AI239" s="11"/>
    </row>
    <row r="240" spans="1:35" x14ac:dyDescent="0.3">
      <c r="A240" s="11" t="s">
        <v>701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2"/>
      <c r="L240" s="12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2"/>
      <c r="AD240" s="11"/>
      <c r="AE240" s="11"/>
      <c r="AF240" s="11" t="str">
        <f t="shared" si="3"/>
        <v/>
      </c>
      <c r="AG240" s="11"/>
      <c r="AH240" s="11"/>
      <c r="AI240" s="11"/>
    </row>
    <row r="241" spans="1:35" x14ac:dyDescent="0.3">
      <c r="A241" s="11" t="s">
        <v>702</v>
      </c>
      <c r="B241" s="11"/>
      <c r="C241" s="11"/>
      <c r="D241" s="11"/>
      <c r="E241" s="11"/>
      <c r="F241" s="11"/>
      <c r="G241" s="11"/>
      <c r="H241" s="11"/>
      <c r="I241" s="11"/>
      <c r="J241" s="11"/>
      <c r="K241" s="12"/>
      <c r="L241" s="12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2"/>
      <c r="AD241" s="11"/>
      <c r="AE241" s="11"/>
      <c r="AF241" s="11" t="str">
        <f t="shared" si="3"/>
        <v/>
      </c>
      <c r="AG241" s="11"/>
      <c r="AH241" s="11"/>
      <c r="AI241" s="11"/>
    </row>
    <row r="242" spans="1:35" x14ac:dyDescent="0.3">
      <c r="A242" s="11" t="s">
        <v>703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2"/>
      <c r="L242" s="12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2"/>
      <c r="AD242" s="11"/>
      <c r="AE242" s="11"/>
      <c r="AF242" s="11" t="str">
        <f t="shared" si="3"/>
        <v/>
      </c>
      <c r="AG242" s="11"/>
      <c r="AH242" s="11"/>
      <c r="AI242" s="11"/>
    </row>
    <row r="243" spans="1:35" x14ac:dyDescent="0.3">
      <c r="A243" s="11" t="s">
        <v>704</v>
      </c>
      <c r="B243" s="11"/>
      <c r="C243" s="11"/>
      <c r="D243" s="11"/>
      <c r="E243" s="11"/>
      <c r="F243" s="11"/>
      <c r="G243" s="11"/>
      <c r="H243" s="11"/>
      <c r="I243" s="11"/>
      <c r="J243" s="11"/>
      <c r="K243" s="12"/>
      <c r="L243" s="12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2"/>
      <c r="AD243" s="11"/>
      <c r="AE243" s="11"/>
      <c r="AF243" s="11" t="str">
        <f t="shared" si="3"/>
        <v/>
      </c>
      <c r="AG243" s="11"/>
      <c r="AH243" s="11"/>
      <c r="AI243" s="11"/>
    </row>
    <row r="244" spans="1:35" x14ac:dyDescent="0.3">
      <c r="A244" s="11" t="s">
        <v>705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2"/>
      <c r="L244" s="12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2"/>
      <c r="AD244" s="11"/>
      <c r="AE244" s="11"/>
      <c r="AF244" s="11" t="str">
        <f t="shared" si="3"/>
        <v/>
      </c>
      <c r="AG244" s="11"/>
      <c r="AH244" s="11"/>
      <c r="AI244" s="11"/>
    </row>
    <row r="245" spans="1:35" x14ac:dyDescent="0.3">
      <c r="A245" s="11" t="s">
        <v>706</v>
      </c>
      <c r="B245" s="11"/>
      <c r="C245" s="11"/>
      <c r="D245" s="11"/>
      <c r="E245" s="11"/>
      <c r="F245" s="11"/>
      <c r="G245" s="11"/>
      <c r="H245" s="11"/>
      <c r="I245" s="11"/>
      <c r="J245" s="11"/>
      <c r="K245" s="12"/>
      <c r="L245" s="12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2"/>
      <c r="AD245" s="11"/>
      <c r="AE245" s="11"/>
      <c r="AF245" s="11" t="str">
        <f t="shared" si="3"/>
        <v/>
      </c>
      <c r="AG245" s="11"/>
      <c r="AH245" s="11"/>
      <c r="AI245" s="11"/>
    </row>
    <row r="246" spans="1:35" x14ac:dyDescent="0.3">
      <c r="A246" s="11" t="s">
        <v>707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2"/>
      <c r="L246" s="12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2"/>
      <c r="AD246" s="11"/>
      <c r="AE246" s="11"/>
      <c r="AF246" s="11" t="str">
        <f t="shared" si="3"/>
        <v/>
      </c>
      <c r="AG246" s="11"/>
      <c r="AH246" s="11"/>
      <c r="AI246" s="11"/>
    </row>
    <row r="247" spans="1:35" x14ac:dyDescent="0.3">
      <c r="A247" s="11" t="s">
        <v>708</v>
      </c>
      <c r="B247" s="11"/>
      <c r="C247" s="11"/>
      <c r="D247" s="11"/>
      <c r="E247" s="11"/>
      <c r="F247" s="11"/>
      <c r="G247" s="11"/>
      <c r="H247" s="11"/>
      <c r="I247" s="11"/>
      <c r="J247" s="11"/>
      <c r="K247" s="12"/>
      <c r="L247" s="12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2"/>
      <c r="AD247" s="11"/>
      <c r="AE247" s="11"/>
      <c r="AF247" s="11" t="str">
        <f t="shared" si="3"/>
        <v/>
      </c>
      <c r="AG247" s="11"/>
      <c r="AH247" s="11"/>
      <c r="AI247" s="11"/>
    </row>
    <row r="248" spans="1:35" x14ac:dyDescent="0.3">
      <c r="A248" s="11" t="s">
        <v>709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2"/>
      <c r="L248" s="12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2"/>
      <c r="AD248" s="11"/>
      <c r="AE248" s="11"/>
      <c r="AF248" s="11" t="str">
        <f t="shared" si="3"/>
        <v/>
      </c>
      <c r="AG248" s="11"/>
      <c r="AH248" s="11"/>
      <c r="AI248" s="11"/>
    </row>
    <row r="249" spans="1:35" x14ac:dyDescent="0.3">
      <c r="A249" s="11" t="s">
        <v>710</v>
      </c>
      <c r="B249" s="11"/>
      <c r="C249" s="11"/>
      <c r="D249" s="11"/>
      <c r="E249" s="11"/>
      <c r="F249" s="11"/>
      <c r="G249" s="11"/>
      <c r="H249" s="11"/>
      <c r="I249" s="11"/>
      <c r="J249" s="11"/>
      <c r="K249" s="12"/>
      <c r="L249" s="12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2"/>
      <c r="AD249" s="11"/>
      <c r="AE249" s="11"/>
      <c r="AF249" s="11" t="str">
        <f t="shared" si="3"/>
        <v/>
      </c>
      <c r="AG249" s="11"/>
      <c r="AH249" s="11"/>
      <c r="AI249" s="11"/>
    </row>
    <row r="250" spans="1:35" x14ac:dyDescent="0.3">
      <c r="A250" s="11" t="s">
        <v>711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2"/>
      <c r="L250" s="12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2"/>
      <c r="AD250" s="11"/>
      <c r="AE250" s="11"/>
      <c r="AF250" s="11" t="str">
        <f t="shared" si="3"/>
        <v/>
      </c>
      <c r="AG250" s="11"/>
      <c r="AH250" s="11"/>
      <c r="AI250" s="11"/>
    </row>
    <row r="251" spans="1:35" x14ac:dyDescent="0.3">
      <c r="A251" s="11" t="s">
        <v>712</v>
      </c>
      <c r="B251" s="11"/>
      <c r="C251" s="11"/>
      <c r="D251" s="11"/>
      <c r="E251" s="11"/>
      <c r="F251" s="11"/>
      <c r="G251" s="11"/>
      <c r="H251" s="11"/>
      <c r="I251" s="11"/>
      <c r="J251" s="11"/>
      <c r="K251" s="12"/>
      <c r="L251" s="12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2"/>
      <c r="AD251" s="11"/>
      <c r="AE251" s="11"/>
      <c r="AF251" s="11" t="str">
        <f t="shared" si="3"/>
        <v/>
      </c>
      <c r="AG251" s="11"/>
      <c r="AH251" s="11"/>
      <c r="AI251" s="11"/>
    </row>
    <row r="252" spans="1:35" x14ac:dyDescent="0.3">
      <c r="A252" s="11" t="s">
        <v>713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2"/>
      <c r="L252" s="12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2"/>
      <c r="AD252" s="11"/>
      <c r="AE252" s="11"/>
      <c r="AF252" s="11" t="str">
        <f t="shared" si="3"/>
        <v/>
      </c>
      <c r="AG252" s="11"/>
      <c r="AH252" s="11"/>
      <c r="AI252" s="11"/>
    </row>
    <row r="253" spans="1:35" x14ac:dyDescent="0.3">
      <c r="A253" s="11" t="s">
        <v>714</v>
      </c>
      <c r="B253" s="11"/>
      <c r="C253" s="11"/>
      <c r="D253" s="11"/>
      <c r="E253" s="11"/>
      <c r="F253" s="11"/>
      <c r="G253" s="11"/>
      <c r="H253" s="11"/>
      <c r="I253" s="11"/>
      <c r="J253" s="11"/>
      <c r="K253" s="12"/>
      <c r="L253" s="12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2"/>
      <c r="AD253" s="11"/>
      <c r="AE253" s="11"/>
      <c r="AF253" s="11" t="str">
        <f t="shared" si="3"/>
        <v/>
      </c>
      <c r="AG253" s="11"/>
      <c r="AH253" s="11"/>
      <c r="AI253" s="11"/>
    </row>
    <row r="254" spans="1:35" x14ac:dyDescent="0.3">
      <c r="A254" s="11" t="s">
        <v>715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2"/>
      <c r="L254" s="12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2"/>
      <c r="AD254" s="11"/>
      <c r="AE254" s="11"/>
      <c r="AF254" s="11" t="str">
        <f t="shared" si="3"/>
        <v/>
      </c>
      <c r="AG254" s="11"/>
      <c r="AH254" s="11"/>
      <c r="AI254" s="11"/>
    </row>
    <row r="255" spans="1:35" x14ac:dyDescent="0.3">
      <c r="A255" s="11" t="s">
        <v>716</v>
      </c>
      <c r="B255" s="11"/>
      <c r="C255" s="11"/>
      <c r="D255" s="11"/>
      <c r="E255" s="11"/>
      <c r="F255" s="11"/>
      <c r="G255" s="11"/>
      <c r="H255" s="11"/>
      <c r="I255" s="11"/>
      <c r="J255" s="11"/>
      <c r="K255" s="12"/>
      <c r="L255" s="12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2"/>
      <c r="AD255" s="11"/>
      <c r="AE255" s="11"/>
      <c r="AF255" s="11" t="str">
        <f t="shared" si="3"/>
        <v/>
      </c>
      <c r="AG255" s="11"/>
      <c r="AH255" s="11"/>
      <c r="AI255" s="11"/>
    </row>
    <row r="256" spans="1:35" x14ac:dyDescent="0.3">
      <c r="A256" s="11" t="s">
        <v>717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2"/>
      <c r="L256" s="12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2"/>
      <c r="AD256" s="11"/>
      <c r="AE256" s="11"/>
      <c r="AF256" s="11" t="str">
        <f t="shared" si="3"/>
        <v/>
      </c>
      <c r="AG256" s="11"/>
      <c r="AH256" s="11"/>
      <c r="AI256" s="11"/>
    </row>
    <row r="257" spans="1:35" x14ac:dyDescent="0.3">
      <c r="A257" s="11" t="s">
        <v>718</v>
      </c>
      <c r="B257" s="11"/>
      <c r="C257" s="11"/>
      <c r="D257" s="11"/>
      <c r="E257" s="11"/>
      <c r="F257" s="11"/>
      <c r="G257" s="11"/>
      <c r="H257" s="11"/>
      <c r="I257" s="11"/>
      <c r="J257" s="11"/>
      <c r="K257" s="12"/>
      <c r="L257" s="12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2"/>
      <c r="AD257" s="11"/>
      <c r="AE257" s="11"/>
      <c r="AF257" s="11" t="str">
        <f t="shared" si="3"/>
        <v/>
      </c>
      <c r="AG257" s="11"/>
      <c r="AH257" s="11"/>
      <c r="AI257" s="11"/>
    </row>
    <row r="258" spans="1:35" x14ac:dyDescent="0.3">
      <c r="A258" s="11" t="s">
        <v>719</v>
      </c>
      <c r="B258" s="11"/>
      <c r="C258" s="11"/>
      <c r="D258" s="11"/>
      <c r="E258" s="11"/>
      <c r="F258" s="11"/>
      <c r="G258" s="11"/>
      <c r="H258" s="11"/>
      <c r="I258" s="11"/>
      <c r="J258" s="11"/>
      <c r="K258" s="12"/>
      <c r="L258" s="12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2"/>
      <c r="AD258" s="11"/>
      <c r="AE258" s="11"/>
      <c r="AF258" s="11" t="str">
        <f t="shared" si="3"/>
        <v/>
      </c>
      <c r="AG258" s="11"/>
      <c r="AH258" s="11"/>
      <c r="AI258" s="11"/>
    </row>
    <row r="259" spans="1:35" x14ac:dyDescent="0.3">
      <c r="A259" s="11" t="s">
        <v>720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2"/>
      <c r="L259" s="12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2"/>
      <c r="AD259" s="11"/>
      <c r="AE259" s="11"/>
      <c r="AF259" s="11" t="str">
        <f t="shared" si="3"/>
        <v/>
      </c>
      <c r="AG259" s="11"/>
      <c r="AH259" s="11"/>
      <c r="AI259" s="11"/>
    </row>
    <row r="260" spans="1:35" x14ac:dyDescent="0.3">
      <c r="A260" s="11" t="s">
        <v>721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2"/>
      <c r="L260" s="12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2"/>
      <c r="AD260" s="11"/>
      <c r="AE260" s="11"/>
      <c r="AF260" s="11" t="str">
        <f t="shared" si="3"/>
        <v/>
      </c>
      <c r="AG260" s="11"/>
      <c r="AH260" s="11"/>
      <c r="AI260" s="11"/>
    </row>
    <row r="261" spans="1:35" x14ac:dyDescent="0.3">
      <c r="A261" s="11" t="s">
        <v>722</v>
      </c>
      <c r="B261" s="11"/>
      <c r="C261" s="11"/>
      <c r="D261" s="11"/>
      <c r="E261" s="11"/>
      <c r="F261" s="11"/>
      <c r="G261" s="11"/>
      <c r="H261" s="11"/>
      <c r="I261" s="11"/>
      <c r="J261" s="11"/>
      <c r="K261" s="12"/>
      <c r="L261" s="12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2"/>
      <c r="AD261" s="11"/>
      <c r="AE261" s="11"/>
      <c r="AF261" s="11" t="str">
        <f t="shared" ref="AF261:AF324" si="4">IF($H261="","",IF($T261="To find","Not started",IF(($C261="")+($D261="")+($E261="")+($G261="")+($I261="")+($M261="")+($O261="")+($S261="")&gt;0,"Missing basic details",IF(AND($T261="Downloaded",($R261="")+($U261="")+($V261="")+(($W261="")*(RIGHT(LOWER($U261),4)=".pdf"))&gt;0),"Add file details",IF(AND($T261="Downloaded",LEN($X261)&lt;&gt;64),"Check SHA-256",IF(AND($Q261="",$R261=""),"Add a URL",IF($S261="No","Not official - replace",IF($M261="Not verified","Verify status","OK"))))))))</f>
        <v/>
      </c>
      <c r="AG261" s="11"/>
      <c r="AH261" s="11"/>
      <c r="AI261" s="11"/>
    </row>
    <row r="262" spans="1:35" x14ac:dyDescent="0.3">
      <c r="A262" s="11" t="s">
        <v>723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2"/>
      <c r="L262" s="12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2"/>
      <c r="AD262" s="11"/>
      <c r="AE262" s="11"/>
      <c r="AF262" s="11" t="str">
        <f t="shared" si="4"/>
        <v/>
      </c>
      <c r="AG262" s="11"/>
      <c r="AH262" s="11"/>
      <c r="AI262" s="11"/>
    </row>
    <row r="263" spans="1:35" x14ac:dyDescent="0.3">
      <c r="A263" s="11" t="s">
        <v>724</v>
      </c>
      <c r="B263" s="11"/>
      <c r="C263" s="11"/>
      <c r="D263" s="11"/>
      <c r="E263" s="11"/>
      <c r="F263" s="11"/>
      <c r="G263" s="11"/>
      <c r="H263" s="11"/>
      <c r="I263" s="11"/>
      <c r="J263" s="11"/>
      <c r="K263" s="12"/>
      <c r="L263" s="12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2"/>
      <c r="AD263" s="11"/>
      <c r="AE263" s="11"/>
      <c r="AF263" s="11" t="str">
        <f t="shared" si="4"/>
        <v/>
      </c>
      <c r="AG263" s="11"/>
      <c r="AH263" s="11"/>
      <c r="AI263" s="11"/>
    </row>
    <row r="264" spans="1:35" x14ac:dyDescent="0.3">
      <c r="A264" s="11" t="s">
        <v>725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2"/>
      <c r="L264" s="12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2"/>
      <c r="AD264" s="11"/>
      <c r="AE264" s="11"/>
      <c r="AF264" s="11" t="str">
        <f t="shared" si="4"/>
        <v/>
      </c>
      <c r="AG264" s="11"/>
      <c r="AH264" s="11"/>
      <c r="AI264" s="11"/>
    </row>
    <row r="265" spans="1:35" x14ac:dyDescent="0.3">
      <c r="A265" s="11" t="s">
        <v>726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2"/>
      <c r="L265" s="12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2"/>
      <c r="AD265" s="11"/>
      <c r="AE265" s="11"/>
      <c r="AF265" s="11" t="str">
        <f t="shared" si="4"/>
        <v/>
      </c>
      <c r="AG265" s="11"/>
      <c r="AH265" s="11"/>
      <c r="AI265" s="11"/>
    </row>
    <row r="266" spans="1:35" x14ac:dyDescent="0.3">
      <c r="A266" s="11" t="s">
        <v>727</v>
      </c>
      <c r="B266" s="11"/>
      <c r="C266" s="11"/>
      <c r="D266" s="11"/>
      <c r="E266" s="11"/>
      <c r="F266" s="11"/>
      <c r="G266" s="11"/>
      <c r="H266" s="11"/>
      <c r="I266" s="11"/>
      <c r="J266" s="11"/>
      <c r="K266" s="12"/>
      <c r="L266" s="12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2"/>
      <c r="AD266" s="11"/>
      <c r="AE266" s="11"/>
      <c r="AF266" s="11" t="str">
        <f t="shared" si="4"/>
        <v/>
      </c>
      <c r="AG266" s="11"/>
      <c r="AH266" s="11"/>
      <c r="AI266" s="11"/>
    </row>
    <row r="267" spans="1:35" x14ac:dyDescent="0.3">
      <c r="A267" s="11" t="s">
        <v>728</v>
      </c>
      <c r="B267" s="11"/>
      <c r="C267" s="11"/>
      <c r="D267" s="11"/>
      <c r="E267" s="11"/>
      <c r="F267" s="11"/>
      <c r="G267" s="11"/>
      <c r="H267" s="11"/>
      <c r="I267" s="11"/>
      <c r="J267" s="11"/>
      <c r="K267" s="12"/>
      <c r="L267" s="12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2"/>
      <c r="AD267" s="11"/>
      <c r="AE267" s="11"/>
      <c r="AF267" s="11" t="str">
        <f t="shared" si="4"/>
        <v/>
      </c>
      <c r="AG267" s="11"/>
      <c r="AH267" s="11"/>
      <c r="AI267" s="11"/>
    </row>
    <row r="268" spans="1:35" x14ac:dyDescent="0.3">
      <c r="A268" s="11" t="s">
        <v>729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2"/>
      <c r="L268" s="12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2"/>
      <c r="AD268" s="11"/>
      <c r="AE268" s="11"/>
      <c r="AF268" s="11" t="str">
        <f t="shared" si="4"/>
        <v/>
      </c>
      <c r="AG268" s="11"/>
      <c r="AH268" s="11"/>
      <c r="AI268" s="11"/>
    </row>
    <row r="269" spans="1:35" x14ac:dyDescent="0.3">
      <c r="A269" s="11" t="s">
        <v>730</v>
      </c>
      <c r="B269" s="11"/>
      <c r="C269" s="11"/>
      <c r="D269" s="11"/>
      <c r="E269" s="11"/>
      <c r="F269" s="11"/>
      <c r="G269" s="11"/>
      <c r="H269" s="11"/>
      <c r="I269" s="11"/>
      <c r="J269" s="11"/>
      <c r="K269" s="12"/>
      <c r="L269" s="12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2"/>
      <c r="AD269" s="11"/>
      <c r="AE269" s="11"/>
      <c r="AF269" s="11" t="str">
        <f t="shared" si="4"/>
        <v/>
      </c>
      <c r="AG269" s="11"/>
      <c r="AH269" s="11"/>
      <c r="AI269" s="11"/>
    </row>
    <row r="270" spans="1:35" x14ac:dyDescent="0.3">
      <c r="A270" s="11" t="s">
        <v>731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2"/>
      <c r="L270" s="12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2"/>
      <c r="AD270" s="11"/>
      <c r="AE270" s="11"/>
      <c r="AF270" s="11" t="str">
        <f t="shared" si="4"/>
        <v/>
      </c>
      <c r="AG270" s="11"/>
      <c r="AH270" s="11"/>
      <c r="AI270" s="11"/>
    </row>
    <row r="271" spans="1:35" x14ac:dyDescent="0.3">
      <c r="A271" s="11" t="s">
        <v>732</v>
      </c>
      <c r="B271" s="11"/>
      <c r="C271" s="11"/>
      <c r="D271" s="11"/>
      <c r="E271" s="11"/>
      <c r="F271" s="11"/>
      <c r="G271" s="11"/>
      <c r="H271" s="11"/>
      <c r="I271" s="11"/>
      <c r="J271" s="11"/>
      <c r="K271" s="12"/>
      <c r="L271" s="12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2"/>
      <c r="AD271" s="11"/>
      <c r="AE271" s="11"/>
      <c r="AF271" s="11" t="str">
        <f t="shared" si="4"/>
        <v/>
      </c>
      <c r="AG271" s="11"/>
      <c r="AH271" s="11"/>
      <c r="AI271" s="11"/>
    </row>
    <row r="272" spans="1:35" x14ac:dyDescent="0.3">
      <c r="A272" s="11" t="s">
        <v>733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2"/>
      <c r="L272" s="12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2"/>
      <c r="AD272" s="11"/>
      <c r="AE272" s="11"/>
      <c r="AF272" s="11" t="str">
        <f t="shared" si="4"/>
        <v/>
      </c>
      <c r="AG272" s="11"/>
      <c r="AH272" s="11"/>
      <c r="AI272" s="11"/>
    </row>
    <row r="273" spans="1:35" x14ac:dyDescent="0.3">
      <c r="A273" s="11" t="s">
        <v>734</v>
      </c>
      <c r="B273" s="11"/>
      <c r="C273" s="11"/>
      <c r="D273" s="11"/>
      <c r="E273" s="11"/>
      <c r="F273" s="11"/>
      <c r="G273" s="11"/>
      <c r="H273" s="11"/>
      <c r="I273" s="11"/>
      <c r="J273" s="11"/>
      <c r="K273" s="12"/>
      <c r="L273" s="12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2"/>
      <c r="AD273" s="11"/>
      <c r="AE273" s="11"/>
      <c r="AF273" s="11" t="str">
        <f t="shared" si="4"/>
        <v/>
      </c>
      <c r="AG273" s="11"/>
      <c r="AH273" s="11"/>
      <c r="AI273" s="11"/>
    </row>
    <row r="274" spans="1:35" x14ac:dyDescent="0.3">
      <c r="A274" s="11" t="s">
        <v>735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2"/>
      <c r="L274" s="12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2"/>
      <c r="AD274" s="11"/>
      <c r="AE274" s="11"/>
      <c r="AF274" s="11" t="str">
        <f t="shared" si="4"/>
        <v/>
      </c>
      <c r="AG274" s="11"/>
      <c r="AH274" s="11"/>
      <c r="AI274" s="11"/>
    </row>
    <row r="275" spans="1:35" x14ac:dyDescent="0.3">
      <c r="A275" s="11" t="s">
        <v>736</v>
      </c>
      <c r="B275" s="11"/>
      <c r="C275" s="11"/>
      <c r="D275" s="11"/>
      <c r="E275" s="11"/>
      <c r="F275" s="11"/>
      <c r="G275" s="11"/>
      <c r="H275" s="11"/>
      <c r="I275" s="11"/>
      <c r="J275" s="11"/>
      <c r="K275" s="12"/>
      <c r="L275" s="12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2"/>
      <c r="AD275" s="11"/>
      <c r="AE275" s="11"/>
      <c r="AF275" s="11" t="str">
        <f t="shared" si="4"/>
        <v/>
      </c>
      <c r="AG275" s="11"/>
      <c r="AH275" s="11"/>
      <c r="AI275" s="11"/>
    </row>
    <row r="276" spans="1:35" x14ac:dyDescent="0.3">
      <c r="A276" s="11" t="s">
        <v>737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2"/>
      <c r="L276" s="12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2"/>
      <c r="AD276" s="11"/>
      <c r="AE276" s="11"/>
      <c r="AF276" s="11" t="str">
        <f t="shared" si="4"/>
        <v/>
      </c>
      <c r="AG276" s="11"/>
      <c r="AH276" s="11"/>
      <c r="AI276" s="11"/>
    </row>
    <row r="277" spans="1:35" x14ac:dyDescent="0.3">
      <c r="A277" s="11" t="s">
        <v>738</v>
      </c>
      <c r="B277" s="11"/>
      <c r="C277" s="11"/>
      <c r="D277" s="11"/>
      <c r="E277" s="11"/>
      <c r="F277" s="11"/>
      <c r="G277" s="11"/>
      <c r="H277" s="11"/>
      <c r="I277" s="11"/>
      <c r="J277" s="11"/>
      <c r="K277" s="12"/>
      <c r="L277" s="12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2"/>
      <c r="AD277" s="11"/>
      <c r="AE277" s="11"/>
      <c r="AF277" s="11" t="str">
        <f t="shared" si="4"/>
        <v/>
      </c>
      <c r="AG277" s="11"/>
      <c r="AH277" s="11"/>
      <c r="AI277" s="11"/>
    </row>
    <row r="278" spans="1:35" x14ac:dyDescent="0.3">
      <c r="A278" s="11" t="s">
        <v>739</v>
      </c>
      <c r="B278" s="11"/>
      <c r="C278" s="11"/>
      <c r="D278" s="11"/>
      <c r="E278" s="11"/>
      <c r="F278" s="11"/>
      <c r="G278" s="11"/>
      <c r="H278" s="11"/>
      <c r="I278" s="11"/>
      <c r="J278" s="11"/>
      <c r="K278" s="12"/>
      <c r="L278" s="12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2"/>
      <c r="AD278" s="11"/>
      <c r="AE278" s="11"/>
      <c r="AF278" s="11" t="str">
        <f t="shared" si="4"/>
        <v/>
      </c>
      <c r="AG278" s="11"/>
      <c r="AH278" s="11"/>
      <c r="AI278" s="11"/>
    </row>
    <row r="279" spans="1:35" x14ac:dyDescent="0.3">
      <c r="A279" s="11" t="s">
        <v>740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2"/>
      <c r="L279" s="12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2"/>
      <c r="AD279" s="11"/>
      <c r="AE279" s="11"/>
      <c r="AF279" s="11" t="str">
        <f t="shared" si="4"/>
        <v/>
      </c>
      <c r="AG279" s="11"/>
      <c r="AH279" s="11"/>
      <c r="AI279" s="11"/>
    </row>
    <row r="280" spans="1:35" x14ac:dyDescent="0.3">
      <c r="A280" s="11" t="s">
        <v>741</v>
      </c>
      <c r="B280" s="11"/>
      <c r="C280" s="11"/>
      <c r="D280" s="11"/>
      <c r="E280" s="11"/>
      <c r="F280" s="11"/>
      <c r="G280" s="11"/>
      <c r="H280" s="11"/>
      <c r="I280" s="11"/>
      <c r="J280" s="11"/>
      <c r="K280" s="12"/>
      <c r="L280" s="12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2"/>
      <c r="AD280" s="11"/>
      <c r="AE280" s="11"/>
      <c r="AF280" s="11" t="str">
        <f t="shared" si="4"/>
        <v/>
      </c>
      <c r="AG280" s="11"/>
      <c r="AH280" s="11"/>
      <c r="AI280" s="11"/>
    </row>
    <row r="281" spans="1:35" x14ac:dyDescent="0.3">
      <c r="A281" s="11" t="s">
        <v>742</v>
      </c>
      <c r="B281" s="11"/>
      <c r="C281" s="11"/>
      <c r="D281" s="11"/>
      <c r="E281" s="11"/>
      <c r="F281" s="11"/>
      <c r="G281" s="11"/>
      <c r="H281" s="11"/>
      <c r="I281" s="11"/>
      <c r="J281" s="11"/>
      <c r="K281" s="12"/>
      <c r="L281" s="12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2"/>
      <c r="AD281" s="11"/>
      <c r="AE281" s="11"/>
      <c r="AF281" s="11" t="str">
        <f t="shared" si="4"/>
        <v/>
      </c>
      <c r="AG281" s="11"/>
      <c r="AH281" s="11"/>
      <c r="AI281" s="11"/>
    </row>
    <row r="282" spans="1:35" x14ac:dyDescent="0.3">
      <c r="A282" s="11" t="s">
        <v>743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2"/>
      <c r="L282" s="12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2"/>
      <c r="AD282" s="11"/>
      <c r="AE282" s="11"/>
      <c r="AF282" s="11" t="str">
        <f t="shared" si="4"/>
        <v/>
      </c>
      <c r="AG282" s="11"/>
      <c r="AH282" s="11"/>
      <c r="AI282" s="11"/>
    </row>
    <row r="283" spans="1:35" x14ac:dyDescent="0.3">
      <c r="A283" s="11" t="s">
        <v>744</v>
      </c>
      <c r="B283" s="11"/>
      <c r="C283" s="11"/>
      <c r="D283" s="11"/>
      <c r="E283" s="11"/>
      <c r="F283" s="11"/>
      <c r="G283" s="11"/>
      <c r="H283" s="11"/>
      <c r="I283" s="11"/>
      <c r="J283" s="11"/>
      <c r="K283" s="12"/>
      <c r="L283" s="12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2"/>
      <c r="AD283" s="11"/>
      <c r="AE283" s="11"/>
      <c r="AF283" s="11" t="str">
        <f t="shared" si="4"/>
        <v/>
      </c>
      <c r="AG283" s="11"/>
      <c r="AH283" s="11"/>
      <c r="AI283" s="11"/>
    </row>
    <row r="284" spans="1:35" x14ac:dyDescent="0.3">
      <c r="A284" s="11" t="s">
        <v>745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2"/>
      <c r="L284" s="12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2"/>
      <c r="AD284" s="11"/>
      <c r="AE284" s="11"/>
      <c r="AF284" s="11" t="str">
        <f t="shared" si="4"/>
        <v/>
      </c>
      <c r="AG284" s="11"/>
      <c r="AH284" s="11"/>
      <c r="AI284" s="11"/>
    </row>
    <row r="285" spans="1:35" x14ac:dyDescent="0.3">
      <c r="A285" s="11" t="s">
        <v>746</v>
      </c>
      <c r="B285" s="11"/>
      <c r="C285" s="11"/>
      <c r="D285" s="11"/>
      <c r="E285" s="11"/>
      <c r="F285" s="11"/>
      <c r="G285" s="11"/>
      <c r="H285" s="11"/>
      <c r="I285" s="11"/>
      <c r="J285" s="11"/>
      <c r="K285" s="12"/>
      <c r="L285" s="12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2"/>
      <c r="AD285" s="11"/>
      <c r="AE285" s="11"/>
      <c r="AF285" s="11" t="str">
        <f t="shared" si="4"/>
        <v/>
      </c>
      <c r="AG285" s="11"/>
      <c r="AH285" s="11"/>
      <c r="AI285" s="11"/>
    </row>
    <row r="286" spans="1:35" x14ac:dyDescent="0.3">
      <c r="A286" s="11" t="s">
        <v>747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2"/>
      <c r="L286" s="12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2"/>
      <c r="AD286" s="11"/>
      <c r="AE286" s="11"/>
      <c r="AF286" s="11" t="str">
        <f t="shared" si="4"/>
        <v/>
      </c>
      <c r="AG286" s="11"/>
      <c r="AH286" s="11"/>
      <c r="AI286" s="11"/>
    </row>
    <row r="287" spans="1:35" x14ac:dyDescent="0.3">
      <c r="A287" s="11" t="s">
        <v>748</v>
      </c>
      <c r="B287" s="11"/>
      <c r="C287" s="11"/>
      <c r="D287" s="11"/>
      <c r="E287" s="11"/>
      <c r="F287" s="11"/>
      <c r="G287" s="11"/>
      <c r="H287" s="11"/>
      <c r="I287" s="11"/>
      <c r="J287" s="11"/>
      <c r="K287" s="12"/>
      <c r="L287" s="12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2"/>
      <c r="AD287" s="11"/>
      <c r="AE287" s="11"/>
      <c r="AF287" s="11" t="str">
        <f t="shared" si="4"/>
        <v/>
      </c>
      <c r="AG287" s="11"/>
      <c r="AH287" s="11"/>
      <c r="AI287" s="11"/>
    </row>
    <row r="288" spans="1:35" x14ac:dyDescent="0.3">
      <c r="A288" s="11" t="s">
        <v>749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2"/>
      <c r="L288" s="12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2"/>
      <c r="AD288" s="11"/>
      <c r="AE288" s="11"/>
      <c r="AF288" s="11" t="str">
        <f t="shared" si="4"/>
        <v/>
      </c>
      <c r="AG288" s="11"/>
      <c r="AH288" s="11"/>
      <c r="AI288" s="11"/>
    </row>
    <row r="289" spans="1:35" x14ac:dyDescent="0.3">
      <c r="A289" s="11" t="s">
        <v>750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2"/>
      <c r="L289" s="12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2"/>
      <c r="AD289" s="11"/>
      <c r="AE289" s="11"/>
      <c r="AF289" s="11" t="str">
        <f t="shared" si="4"/>
        <v/>
      </c>
      <c r="AG289" s="11"/>
      <c r="AH289" s="11"/>
      <c r="AI289" s="11"/>
    </row>
    <row r="290" spans="1:35" x14ac:dyDescent="0.3">
      <c r="A290" s="11" t="s">
        <v>751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2"/>
      <c r="L290" s="12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2"/>
      <c r="AD290" s="11"/>
      <c r="AE290" s="11"/>
      <c r="AF290" s="11" t="str">
        <f t="shared" si="4"/>
        <v/>
      </c>
      <c r="AG290" s="11"/>
      <c r="AH290" s="11"/>
      <c r="AI290" s="11"/>
    </row>
    <row r="291" spans="1:35" x14ac:dyDescent="0.3">
      <c r="A291" s="11" t="s">
        <v>752</v>
      </c>
      <c r="B291" s="11"/>
      <c r="C291" s="11"/>
      <c r="D291" s="11"/>
      <c r="E291" s="11"/>
      <c r="F291" s="11"/>
      <c r="G291" s="11"/>
      <c r="H291" s="11"/>
      <c r="I291" s="11"/>
      <c r="J291" s="11"/>
      <c r="K291" s="12"/>
      <c r="L291" s="12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2"/>
      <c r="AD291" s="11"/>
      <c r="AE291" s="11"/>
      <c r="AF291" s="11" t="str">
        <f t="shared" si="4"/>
        <v/>
      </c>
      <c r="AG291" s="11"/>
      <c r="AH291" s="11"/>
      <c r="AI291" s="11"/>
    </row>
    <row r="292" spans="1:35" x14ac:dyDescent="0.3">
      <c r="A292" s="11" t="s">
        <v>753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2"/>
      <c r="L292" s="12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2"/>
      <c r="AD292" s="11"/>
      <c r="AE292" s="11"/>
      <c r="AF292" s="11" t="str">
        <f t="shared" si="4"/>
        <v/>
      </c>
      <c r="AG292" s="11"/>
      <c r="AH292" s="11"/>
      <c r="AI292" s="11"/>
    </row>
    <row r="293" spans="1:35" x14ac:dyDescent="0.3">
      <c r="A293" s="11" t="s">
        <v>754</v>
      </c>
      <c r="B293" s="11"/>
      <c r="C293" s="11"/>
      <c r="D293" s="11"/>
      <c r="E293" s="11"/>
      <c r="F293" s="11"/>
      <c r="G293" s="11"/>
      <c r="H293" s="11"/>
      <c r="I293" s="11"/>
      <c r="J293" s="11"/>
      <c r="K293" s="12"/>
      <c r="L293" s="12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2"/>
      <c r="AD293" s="11"/>
      <c r="AE293" s="11"/>
      <c r="AF293" s="11" t="str">
        <f t="shared" si="4"/>
        <v/>
      </c>
      <c r="AG293" s="11"/>
      <c r="AH293" s="11"/>
      <c r="AI293" s="11"/>
    </row>
    <row r="294" spans="1:35" x14ac:dyDescent="0.3">
      <c r="A294" s="11" t="s">
        <v>755</v>
      </c>
      <c r="B294" s="11"/>
      <c r="C294" s="11"/>
      <c r="D294" s="11"/>
      <c r="E294" s="11"/>
      <c r="F294" s="11"/>
      <c r="G294" s="11"/>
      <c r="H294" s="11"/>
      <c r="I294" s="11"/>
      <c r="J294" s="11"/>
      <c r="K294" s="12"/>
      <c r="L294" s="12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2"/>
      <c r="AD294" s="11"/>
      <c r="AE294" s="11"/>
      <c r="AF294" s="11" t="str">
        <f t="shared" si="4"/>
        <v/>
      </c>
      <c r="AG294" s="11"/>
      <c r="AH294" s="11"/>
      <c r="AI294" s="11"/>
    </row>
    <row r="295" spans="1:35" x14ac:dyDescent="0.3">
      <c r="A295" s="11" t="s">
        <v>756</v>
      </c>
      <c r="B295" s="11"/>
      <c r="C295" s="11"/>
      <c r="D295" s="11"/>
      <c r="E295" s="11"/>
      <c r="F295" s="11"/>
      <c r="G295" s="11"/>
      <c r="H295" s="11"/>
      <c r="I295" s="11"/>
      <c r="J295" s="11"/>
      <c r="K295" s="12"/>
      <c r="L295" s="12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2"/>
      <c r="AD295" s="11"/>
      <c r="AE295" s="11"/>
      <c r="AF295" s="11" t="str">
        <f t="shared" si="4"/>
        <v/>
      </c>
      <c r="AG295" s="11"/>
      <c r="AH295" s="11"/>
      <c r="AI295" s="11"/>
    </row>
    <row r="296" spans="1:35" x14ac:dyDescent="0.3">
      <c r="A296" s="11" t="s">
        <v>757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2"/>
      <c r="L296" s="12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2"/>
      <c r="AD296" s="11"/>
      <c r="AE296" s="11"/>
      <c r="AF296" s="11" t="str">
        <f t="shared" si="4"/>
        <v/>
      </c>
      <c r="AG296" s="11"/>
      <c r="AH296" s="11"/>
      <c r="AI296" s="11"/>
    </row>
    <row r="297" spans="1:35" x14ac:dyDescent="0.3">
      <c r="A297" s="11" t="s">
        <v>758</v>
      </c>
      <c r="B297" s="11"/>
      <c r="C297" s="11"/>
      <c r="D297" s="11"/>
      <c r="E297" s="11"/>
      <c r="F297" s="11"/>
      <c r="G297" s="11"/>
      <c r="H297" s="11"/>
      <c r="I297" s="11"/>
      <c r="J297" s="11"/>
      <c r="K297" s="12"/>
      <c r="L297" s="12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2"/>
      <c r="AD297" s="11"/>
      <c r="AE297" s="11"/>
      <c r="AF297" s="11" t="str">
        <f t="shared" si="4"/>
        <v/>
      </c>
      <c r="AG297" s="11"/>
      <c r="AH297" s="11"/>
      <c r="AI297" s="11"/>
    </row>
    <row r="298" spans="1:35" x14ac:dyDescent="0.3">
      <c r="A298" s="11" t="s">
        <v>759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2"/>
      <c r="L298" s="12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2"/>
      <c r="AD298" s="11"/>
      <c r="AE298" s="11"/>
      <c r="AF298" s="11" t="str">
        <f t="shared" si="4"/>
        <v/>
      </c>
      <c r="AG298" s="11"/>
      <c r="AH298" s="11"/>
      <c r="AI298" s="11"/>
    </row>
    <row r="299" spans="1:35" x14ac:dyDescent="0.3">
      <c r="A299" s="11" t="s">
        <v>760</v>
      </c>
      <c r="B299" s="11"/>
      <c r="C299" s="11"/>
      <c r="D299" s="11"/>
      <c r="E299" s="11"/>
      <c r="F299" s="11"/>
      <c r="G299" s="11"/>
      <c r="H299" s="11"/>
      <c r="I299" s="11"/>
      <c r="J299" s="11"/>
      <c r="K299" s="12"/>
      <c r="L299" s="12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2"/>
      <c r="AD299" s="11"/>
      <c r="AE299" s="11"/>
      <c r="AF299" s="11" t="str">
        <f t="shared" si="4"/>
        <v/>
      </c>
      <c r="AG299" s="11"/>
      <c r="AH299" s="11"/>
      <c r="AI299" s="11"/>
    </row>
    <row r="300" spans="1:35" x14ac:dyDescent="0.3">
      <c r="A300" s="11" t="s">
        <v>761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2"/>
      <c r="L300" s="12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2"/>
      <c r="AD300" s="11"/>
      <c r="AE300" s="11"/>
      <c r="AF300" s="11" t="str">
        <f t="shared" si="4"/>
        <v/>
      </c>
      <c r="AG300" s="11"/>
      <c r="AH300" s="11"/>
      <c r="AI300" s="11"/>
    </row>
    <row r="301" spans="1:35" x14ac:dyDescent="0.3">
      <c r="A301" s="11" t="s">
        <v>762</v>
      </c>
      <c r="B301" s="11"/>
      <c r="C301" s="11"/>
      <c r="D301" s="11"/>
      <c r="E301" s="11"/>
      <c r="F301" s="11"/>
      <c r="G301" s="11"/>
      <c r="H301" s="11"/>
      <c r="I301" s="11"/>
      <c r="J301" s="11"/>
      <c r="K301" s="12"/>
      <c r="L301" s="12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2"/>
      <c r="AD301" s="11"/>
      <c r="AE301" s="11"/>
      <c r="AF301" s="11" t="str">
        <f t="shared" si="4"/>
        <v/>
      </c>
      <c r="AG301" s="11"/>
      <c r="AH301" s="11"/>
      <c r="AI301" s="11"/>
    </row>
    <row r="302" spans="1:35" x14ac:dyDescent="0.3">
      <c r="A302" s="11" t="s">
        <v>763</v>
      </c>
      <c r="B302" s="11"/>
      <c r="C302" s="11"/>
      <c r="D302" s="11"/>
      <c r="E302" s="11"/>
      <c r="F302" s="11"/>
      <c r="G302" s="11"/>
      <c r="H302" s="11"/>
      <c r="I302" s="11"/>
      <c r="J302" s="11"/>
      <c r="K302" s="12"/>
      <c r="L302" s="12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2"/>
      <c r="AD302" s="11"/>
      <c r="AE302" s="11"/>
      <c r="AF302" s="11" t="str">
        <f t="shared" si="4"/>
        <v/>
      </c>
      <c r="AG302" s="11"/>
      <c r="AH302" s="11"/>
      <c r="AI302" s="11"/>
    </row>
    <row r="303" spans="1:35" x14ac:dyDescent="0.3">
      <c r="A303" s="11" t="s">
        <v>764</v>
      </c>
      <c r="B303" s="11"/>
      <c r="C303" s="11"/>
      <c r="D303" s="11"/>
      <c r="E303" s="11"/>
      <c r="F303" s="11"/>
      <c r="G303" s="11"/>
      <c r="H303" s="11"/>
      <c r="I303" s="11"/>
      <c r="J303" s="11"/>
      <c r="K303" s="12"/>
      <c r="L303" s="12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2"/>
      <c r="AD303" s="11"/>
      <c r="AE303" s="11"/>
      <c r="AF303" s="11" t="str">
        <f t="shared" si="4"/>
        <v/>
      </c>
      <c r="AG303" s="11"/>
      <c r="AH303" s="11"/>
      <c r="AI303" s="11"/>
    </row>
    <row r="304" spans="1:35" x14ac:dyDescent="0.3">
      <c r="A304" s="11" t="s">
        <v>765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2"/>
      <c r="L304" s="12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2"/>
      <c r="AD304" s="11"/>
      <c r="AE304" s="11"/>
      <c r="AF304" s="11" t="str">
        <f t="shared" si="4"/>
        <v/>
      </c>
      <c r="AG304" s="11"/>
      <c r="AH304" s="11"/>
      <c r="AI304" s="11"/>
    </row>
    <row r="305" spans="1:35" x14ac:dyDescent="0.3">
      <c r="A305" s="11" t="s">
        <v>766</v>
      </c>
      <c r="B305" s="11"/>
      <c r="C305" s="11"/>
      <c r="D305" s="11"/>
      <c r="E305" s="11"/>
      <c r="F305" s="11"/>
      <c r="G305" s="11"/>
      <c r="H305" s="11"/>
      <c r="I305" s="11"/>
      <c r="J305" s="11"/>
      <c r="K305" s="12"/>
      <c r="L305" s="12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2"/>
      <c r="AD305" s="11"/>
      <c r="AE305" s="11"/>
      <c r="AF305" s="11" t="str">
        <f t="shared" si="4"/>
        <v/>
      </c>
      <c r="AG305" s="11"/>
      <c r="AH305" s="11"/>
      <c r="AI305" s="11"/>
    </row>
    <row r="306" spans="1:35" x14ac:dyDescent="0.3">
      <c r="A306" s="11" t="s">
        <v>767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2"/>
      <c r="L306" s="12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2"/>
      <c r="AD306" s="11"/>
      <c r="AE306" s="11"/>
      <c r="AF306" s="11" t="str">
        <f t="shared" si="4"/>
        <v/>
      </c>
      <c r="AG306" s="11"/>
      <c r="AH306" s="11"/>
      <c r="AI306" s="11"/>
    </row>
    <row r="307" spans="1:35" x14ac:dyDescent="0.3">
      <c r="A307" s="11" t="s">
        <v>768</v>
      </c>
      <c r="B307" s="11"/>
      <c r="C307" s="11"/>
      <c r="D307" s="11"/>
      <c r="E307" s="11"/>
      <c r="F307" s="11"/>
      <c r="G307" s="11"/>
      <c r="H307" s="11"/>
      <c r="I307" s="11"/>
      <c r="J307" s="11"/>
      <c r="K307" s="12"/>
      <c r="L307" s="12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2"/>
      <c r="AD307" s="11"/>
      <c r="AE307" s="11"/>
      <c r="AF307" s="11" t="str">
        <f t="shared" si="4"/>
        <v/>
      </c>
      <c r="AG307" s="11"/>
      <c r="AH307" s="11"/>
      <c r="AI307" s="11"/>
    </row>
    <row r="308" spans="1:35" x14ac:dyDescent="0.3">
      <c r="A308" s="11" t="s">
        <v>769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2"/>
      <c r="L308" s="12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2"/>
      <c r="AD308" s="11"/>
      <c r="AE308" s="11"/>
      <c r="AF308" s="11" t="str">
        <f t="shared" si="4"/>
        <v/>
      </c>
      <c r="AG308" s="11"/>
      <c r="AH308" s="11"/>
      <c r="AI308" s="11"/>
    </row>
    <row r="309" spans="1:35" x14ac:dyDescent="0.3">
      <c r="A309" s="11" t="s">
        <v>770</v>
      </c>
      <c r="B309" s="11"/>
      <c r="C309" s="11"/>
      <c r="D309" s="11"/>
      <c r="E309" s="11"/>
      <c r="F309" s="11"/>
      <c r="G309" s="11"/>
      <c r="H309" s="11"/>
      <c r="I309" s="11"/>
      <c r="J309" s="11"/>
      <c r="K309" s="12"/>
      <c r="L309" s="12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2"/>
      <c r="AD309" s="11"/>
      <c r="AE309" s="11"/>
      <c r="AF309" s="11" t="str">
        <f t="shared" si="4"/>
        <v/>
      </c>
      <c r="AG309" s="11"/>
      <c r="AH309" s="11"/>
      <c r="AI309" s="11"/>
    </row>
    <row r="310" spans="1:35" x14ac:dyDescent="0.3">
      <c r="A310" s="11" t="s">
        <v>771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2"/>
      <c r="L310" s="12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2"/>
      <c r="AD310" s="11"/>
      <c r="AE310" s="11"/>
      <c r="AF310" s="11" t="str">
        <f t="shared" si="4"/>
        <v/>
      </c>
      <c r="AG310" s="11"/>
      <c r="AH310" s="11"/>
      <c r="AI310" s="11"/>
    </row>
    <row r="311" spans="1:35" x14ac:dyDescent="0.3">
      <c r="A311" s="11" t="s">
        <v>772</v>
      </c>
      <c r="B311" s="11"/>
      <c r="C311" s="11"/>
      <c r="D311" s="11"/>
      <c r="E311" s="11"/>
      <c r="F311" s="11"/>
      <c r="G311" s="11"/>
      <c r="H311" s="11"/>
      <c r="I311" s="11"/>
      <c r="J311" s="11"/>
      <c r="K311" s="12"/>
      <c r="L311" s="12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2"/>
      <c r="AD311" s="11"/>
      <c r="AE311" s="11"/>
      <c r="AF311" s="11" t="str">
        <f t="shared" si="4"/>
        <v/>
      </c>
      <c r="AG311" s="11"/>
      <c r="AH311" s="11"/>
      <c r="AI311" s="11"/>
    </row>
    <row r="312" spans="1:35" x14ac:dyDescent="0.3">
      <c r="A312" s="11" t="s">
        <v>773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2"/>
      <c r="L312" s="12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2"/>
      <c r="AD312" s="11"/>
      <c r="AE312" s="11"/>
      <c r="AF312" s="11" t="str">
        <f t="shared" si="4"/>
        <v/>
      </c>
      <c r="AG312" s="11"/>
      <c r="AH312" s="11"/>
      <c r="AI312" s="11"/>
    </row>
    <row r="313" spans="1:35" x14ac:dyDescent="0.3">
      <c r="A313" s="11" t="s">
        <v>774</v>
      </c>
      <c r="B313" s="11"/>
      <c r="C313" s="11"/>
      <c r="D313" s="11"/>
      <c r="E313" s="11"/>
      <c r="F313" s="11"/>
      <c r="G313" s="11"/>
      <c r="H313" s="11"/>
      <c r="I313" s="11"/>
      <c r="J313" s="11"/>
      <c r="K313" s="12"/>
      <c r="L313" s="12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2"/>
      <c r="AD313" s="11"/>
      <c r="AE313" s="11"/>
      <c r="AF313" s="11" t="str">
        <f t="shared" si="4"/>
        <v/>
      </c>
      <c r="AG313" s="11"/>
      <c r="AH313" s="11"/>
      <c r="AI313" s="11"/>
    </row>
    <row r="314" spans="1:35" x14ac:dyDescent="0.3">
      <c r="A314" s="11" t="s">
        <v>775</v>
      </c>
      <c r="B314" s="11"/>
      <c r="C314" s="11"/>
      <c r="D314" s="11"/>
      <c r="E314" s="11"/>
      <c r="F314" s="11"/>
      <c r="G314" s="11"/>
      <c r="H314" s="11"/>
      <c r="I314" s="11"/>
      <c r="J314" s="11"/>
      <c r="K314" s="12"/>
      <c r="L314" s="12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2"/>
      <c r="AD314" s="11"/>
      <c r="AE314" s="11"/>
      <c r="AF314" s="11" t="str">
        <f t="shared" si="4"/>
        <v/>
      </c>
      <c r="AG314" s="11"/>
      <c r="AH314" s="11"/>
      <c r="AI314" s="11"/>
    </row>
    <row r="315" spans="1:35" x14ac:dyDescent="0.3">
      <c r="A315" s="11" t="s">
        <v>776</v>
      </c>
      <c r="B315" s="11"/>
      <c r="C315" s="11"/>
      <c r="D315" s="11"/>
      <c r="E315" s="11"/>
      <c r="F315" s="11"/>
      <c r="G315" s="11"/>
      <c r="H315" s="11"/>
      <c r="I315" s="11"/>
      <c r="J315" s="11"/>
      <c r="K315" s="12"/>
      <c r="L315" s="12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2"/>
      <c r="AD315" s="11"/>
      <c r="AE315" s="11"/>
      <c r="AF315" s="11" t="str">
        <f t="shared" si="4"/>
        <v/>
      </c>
      <c r="AG315" s="11"/>
      <c r="AH315" s="11"/>
      <c r="AI315" s="11"/>
    </row>
    <row r="316" spans="1:35" x14ac:dyDescent="0.3">
      <c r="A316" s="11" t="s">
        <v>777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2"/>
      <c r="L316" s="12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2"/>
      <c r="AD316" s="11"/>
      <c r="AE316" s="11"/>
      <c r="AF316" s="11" t="str">
        <f t="shared" si="4"/>
        <v/>
      </c>
      <c r="AG316" s="11"/>
      <c r="AH316" s="11"/>
      <c r="AI316" s="11"/>
    </row>
    <row r="317" spans="1:35" x14ac:dyDescent="0.3">
      <c r="A317" s="11" t="s">
        <v>778</v>
      </c>
      <c r="B317" s="11"/>
      <c r="C317" s="11"/>
      <c r="D317" s="11"/>
      <c r="E317" s="11"/>
      <c r="F317" s="11"/>
      <c r="G317" s="11"/>
      <c r="H317" s="11"/>
      <c r="I317" s="11"/>
      <c r="J317" s="11"/>
      <c r="K317" s="12"/>
      <c r="L317" s="12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2"/>
      <c r="AD317" s="11"/>
      <c r="AE317" s="11"/>
      <c r="AF317" s="11" t="str">
        <f t="shared" si="4"/>
        <v/>
      </c>
      <c r="AG317" s="11"/>
      <c r="AH317" s="11"/>
      <c r="AI317" s="11"/>
    </row>
    <row r="318" spans="1:35" x14ac:dyDescent="0.3">
      <c r="A318" s="11" t="s">
        <v>779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2"/>
      <c r="L318" s="12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2"/>
      <c r="AD318" s="11"/>
      <c r="AE318" s="11"/>
      <c r="AF318" s="11" t="str">
        <f t="shared" si="4"/>
        <v/>
      </c>
      <c r="AG318" s="11"/>
      <c r="AH318" s="11"/>
      <c r="AI318" s="11"/>
    </row>
    <row r="319" spans="1:35" x14ac:dyDescent="0.3">
      <c r="A319" s="11" t="s">
        <v>780</v>
      </c>
      <c r="B319" s="11"/>
      <c r="C319" s="11"/>
      <c r="D319" s="11"/>
      <c r="E319" s="11"/>
      <c r="F319" s="11"/>
      <c r="G319" s="11"/>
      <c r="H319" s="11"/>
      <c r="I319" s="11"/>
      <c r="J319" s="11"/>
      <c r="K319" s="12"/>
      <c r="L319" s="12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2"/>
      <c r="AD319" s="11"/>
      <c r="AE319" s="11"/>
      <c r="AF319" s="11" t="str">
        <f t="shared" si="4"/>
        <v/>
      </c>
      <c r="AG319" s="11"/>
      <c r="AH319" s="11"/>
      <c r="AI319" s="11"/>
    </row>
    <row r="320" spans="1:35" x14ac:dyDescent="0.3">
      <c r="A320" s="11" t="s">
        <v>781</v>
      </c>
      <c r="B320" s="11"/>
      <c r="C320" s="11"/>
      <c r="D320" s="11"/>
      <c r="E320" s="11"/>
      <c r="F320" s="11"/>
      <c r="G320" s="11"/>
      <c r="H320" s="11"/>
      <c r="I320" s="11"/>
      <c r="J320" s="11"/>
      <c r="K320" s="12"/>
      <c r="L320" s="12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2"/>
      <c r="AD320" s="11"/>
      <c r="AE320" s="11"/>
      <c r="AF320" s="11" t="str">
        <f t="shared" si="4"/>
        <v/>
      </c>
      <c r="AG320" s="11"/>
      <c r="AH320" s="11"/>
      <c r="AI320" s="11"/>
    </row>
    <row r="321" spans="1:35" x14ac:dyDescent="0.3">
      <c r="A321" s="11" t="s">
        <v>782</v>
      </c>
      <c r="B321" s="11"/>
      <c r="C321" s="11"/>
      <c r="D321" s="11"/>
      <c r="E321" s="11"/>
      <c r="F321" s="11"/>
      <c r="G321" s="11"/>
      <c r="H321" s="11"/>
      <c r="I321" s="11"/>
      <c r="J321" s="11"/>
      <c r="K321" s="12"/>
      <c r="L321" s="12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2"/>
      <c r="AD321" s="11"/>
      <c r="AE321" s="11"/>
      <c r="AF321" s="11" t="str">
        <f t="shared" si="4"/>
        <v/>
      </c>
      <c r="AG321" s="11"/>
      <c r="AH321" s="11"/>
      <c r="AI321" s="11"/>
    </row>
    <row r="322" spans="1:35" x14ac:dyDescent="0.3">
      <c r="A322" s="11" t="s">
        <v>783</v>
      </c>
      <c r="B322" s="11"/>
      <c r="C322" s="11"/>
      <c r="D322" s="11"/>
      <c r="E322" s="11"/>
      <c r="F322" s="11"/>
      <c r="G322" s="11"/>
      <c r="H322" s="11"/>
      <c r="I322" s="11"/>
      <c r="J322" s="11"/>
      <c r="K322" s="12"/>
      <c r="L322" s="12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2"/>
      <c r="AD322" s="11"/>
      <c r="AE322" s="11"/>
      <c r="AF322" s="11" t="str">
        <f t="shared" si="4"/>
        <v/>
      </c>
      <c r="AG322" s="11"/>
      <c r="AH322" s="11"/>
      <c r="AI322" s="11"/>
    </row>
    <row r="323" spans="1:35" x14ac:dyDescent="0.3">
      <c r="A323" s="11" t="s">
        <v>784</v>
      </c>
      <c r="B323" s="11"/>
      <c r="C323" s="11"/>
      <c r="D323" s="11"/>
      <c r="E323" s="11"/>
      <c r="F323" s="11"/>
      <c r="G323" s="11"/>
      <c r="H323" s="11"/>
      <c r="I323" s="11"/>
      <c r="J323" s="11"/>
      <c r="K323" s="12"/>
      <c r="L323" s="12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2"/>
      <c r="AD323" s="11"/>
      <c r="AE323" s="11"/>
      <c r="AF323" s="11" t="str">
        <f t="shared" si="4"/>
        <v/>
      </c>
      <c r="AG323" s="11"/>
      <c r="AH323" s="11"/>
      <c r="AI323" s="11"/>
    </row>
    <row r="324" spans="1:35" x14ac:dyDescent="0.3">
      <c r="A324" s="11" t="s">
        <v>785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2"/>
      <c r="L324" s="12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2"/>
      <c r="AD324" s="11"/>
      <c r="AE324" s="11"/>
      <c r="AF324" s="11" t="str">
        <f t="shared" si="4"/>
        <v/>
      </c>
      <c r="AG324" s="11"/>
      <c r="AH324" s="11"/>
      <c r="AI324" s="11"/>
    </row>
    <row r="325" spans="1:35" x14ac:dyDescent="0.3">
      <c r="A325" s="11" t="s">
        <v>786</v>
      </c>
      <c r="B325" s="11"/>
      <c r="C325" s="11"/>
      <c r="D325" s="11"/>
      <c r="E325" s="11"/>
      <c r="F325" s="11"/>
      <c r="G325" s="11"/>
      <c r="H325" s="11"/>
      <c r="I325" s="11"/>
      <c r="J325" s="11"/>
      <c r="K325" s="12"/>
      <c r="L325" s="12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2"/>
      <c r="AD325" s="11"/>
      <c r="AE325" s="11"/>
      <c r="AF325" s="11" t="str">
        <f t="shared" ref="AF325:AF388" si="5">IF($H325="","",IF($T325="To find","Not started",IF(($C325="")+($D325="")+($E325="")+($G325="")+($I325="")+($M325="")+($O325="")+($S325="")&gt;0,"Missing basic details",IF(AND($T325="Downloaded",($R325="")+($U325="")+($V325="")+(($W325="")*(RIGHT(LOWER($U325),4)=".pdf"))&gt;0),"Add file details",IF(AND($T325="Downloaded",LEN($X325)&lt;&gt;64),"Check SHA-256",IF(AND($Q325="",$R325=""),"Add a URL",IF($S325="No","Not official - replace",IF($M325="Not verified","Verify status","OK"))))))))</f>
        <v/>
      </c>
      <c r="AG325" s="11"/>
      <c r="AH325" s="11"/>
      <c r="AI325" s="11"/>
    </row>
    <row r="326" spans="1:35" x14ac:dyDescent="0.3">
      <c r="A326" s="11" t="s">
        <v>787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2"/>
      <c r="L326" s="12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2"/>
      <c r="AD326" s="11"/>
      <c r="AE326" s="11"/>
      <c r="AF326" s="11" t="str">
        <f t="shared" si="5"/>
        <v/>
      </c>
      <c r="AG326" s="11"/>
      <c r="AH326" s="11"/>
      <c r="AI326" s="11"/>
    </row>
    <row r="327" spans="1:35" x14ac:dyDescent="0.3">
      <c r="A327" s="11" t="s">
        <v>788</v>
      </c>
      <c r="B327" s="11"/>
      <c r="C327" s="11"/>
      <c r="D327" s="11"/>
      <c r="E327" s="11"/>
      <c r="F327" s="11"/>
      <c r="G327" s="11"/>
      <c r="H327" s="11"/>
      <c r="I327" s="11"/>
      <c r="J327" s="11"/>
      <c r="K327" s="12"/>
      <c r="L327" s="12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2"/>
      <c r="AD327" s="11"/>
      <c r="AE327" s="11"/>
      <c r="AF327" s="11" t="str">
        <f t="shared" si="5"/>
        <v/>
      </c>
      <c r="AG327" s="11"/>
      <c r="AH327" s="11"/>
      <c r="AI327" s="11"/>
    </row>
    <row r="328" spans="1:35" x14ac:dyDescent="0.3">
      <c r="A328" s="11" t="s">
        <v>789</v>
      </c>
      <c r="B328" s="11"/>
      <c r="C328" s="11"/>
      <c r="D328" s="11"/>
      <c r="E328" s="11"/>
      <c r="F328" s="11"/>
      <c r="G328" s="11"/>
      <c r="H328" s="11"/>
      <c r="I328" s="11"/>
      <c r="J328" s="11"/>
      <c r="K328" s="12"/>
      <c r="L328" s="12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2"/>
      <c r="AD328" s="11"/>
      <c r="AE328" s="11"/>
      <c r="AF328" s="11" t="str">
        <f t="shared" si="5"/>
        <v/>
      </c>
      <c r="AG328" s="11"/>
      <c r="AH328" s="11"/>
      <c r="AI328" s="11"/>
    </row>
    <row r="329" spans="1:35" x14ac:dyDescent="0.3">
      <c r="A329" s="11" t="s">
        <v>790</v>
      </c>
      <c r="B329" s="11"/>
      <c r="C329" s="11"/>
      <c r="D329" s="11"/>
      <c r="E329" s="11"/>
      <c r="F329" s="11"/>
      <c r="G329" s="11"/>
      <c r="H329" s="11"/>
      <c r="I329" s="11"/>
      <c r="J329" s="11"/>
      <c r="K329" s="12"/>
      <c r="L329" s="12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2"/>
      <c r="AD329" s="11"/>
      <c r="AE329" s="11"/>
      <c r="AF329" s="11" t="str">
        <f t="shared" si="5"/>
        <v/>
      </c>
      <c r="AG329" s="11"/>
      <c r="AH329" s="11"/>
      <c r="AI329" s="11"/>
    </row>
    <row r="330" spans="1:35" x14ac:dyDescent="0.3">
      <c r="A330" s="11" t="s">
        <v>791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2"/>
      <c r="L330" s="12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2"/>
      <c r="AD330" s="11"/>
      <c r="AE330" s="11"/>
      <c r="AF330" s="11" t="str">
        <f t="shared" si="5"/>
        <v/>
      </c>
      <c r="AG330" s="11"/>
      <c r="AH330" s="11"/>
      <c r="AI330" s="11"/>
    </row>
    <row r="331" spans="1:35" x14ac:dyDescent="0.3">
      <c r="A331" s="11" t="s">
        <v>792</v>
      </c>
      <c r="B331" s="11"/>
      <c r="C331" s="11"/>
      <c r="D331" s="11"/>
      <c r="E331" s="11"/>
      <c r="F331" s="11"/>
      <c r="G331" s="11"/>
      <c r="H331" s="11"/>
      <c r="I331" s="11"/>
      <c r="J331" s="11"/>
      <c r="K331" s="12"/>
      <c r="L331" s="12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2"/>
      <c r="AD331" s="11"/>
      <c r="AE331" s="11"/>
      <c r="AF331" s="11" t="str">
        <f t="shared" si="5"/>
        <v/>
      </c>
      <c r="AG331" s="11"/>
      <c r="AH331" s="11"/>
      <c r="AI331" s="11"/>
    </row>
    <row r="332" spans="1:35" x14ac:dyDescent="0.3">
      <c r="A332" s="11" t="s">
        <v>793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2"/>
      <c r="L332" s="12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2"/>
      <c r="AD332" s="11"/>
      <c r="AE332" s="11"/>
      <c r="AF332" s="11" t="str">
        <f t="shared" si="5"/>
        <v/>
      </c>
      <c r="AG332" s="11"/>
      <c r="AH332" s="11"/>
      <c r="AI332" s="11"/>
    </row>
    <row r="333" spans="1:35" x14ac:dyDescent="0.3">
      <c r="A333" s="11" t="s">
        <v>794</v>
      </c>
      <c r="B333" s="11"/>
      <c r="C333" s="11"/>
      <c r="D333" s="11"/>
      <c r="E333" s="11"/>
      <c r="F333" s="11"/>
      <c r="G333" s="11"/>
      <c r="H333" s="11"/>
      <c r="I333" s="11"/>
      <c r="J333" s="11"/>
      <c r="K333" s="12"/>
      <c r="L333" s="12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2"/>
      <c r="AD333" s="11"/>
      <c r="AE333" s="11"/>
      <c r="AF333" s="11" t="str">
        <f t="shared" si="5"/>
        <v/>
      </c>
      <c r="AG333" s="11"/>
      <c r="AH333" s="11"/>
      <c r="AI333" s="11"/>
    </row>
    <row r="334" spans="1:35" x14ac:dyDescent="0.3">
      <c r="A334" s="11" t="s">
        <v>795</v>
      </c>
      <c r="B334" s="11"/>
      <c r="C334" s="11"/>
      <c r="D334" s="11"/>
      <c r="E334" s="11"/>
      <c r="F334" s="11"/>
      <c r="G334" s="11"/>
      <c r="H334" s="11"/>
      <c r="I334" s="11"/>
      <c r="J334" s="11"/>
      <c r="K334" s="12"/>
      <c r="L334" s="12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2"/>
      <c r="AD334" s="11"/>
      <c r="AE334" s="11"/>
      <c r="AF334" s="11" t="str">
        <f t="shared" si="5"/>
        <v/>
      </c>
      <c r="AG334" s="11"/>
      <c r="AH334" s="11"/>
      <c r="AI334" s="11"/>
    </row>
    <row r="335" spans="1:35" x14ac:dyDescent="0.3">
      <c r="A335" s="11" t="s">
        <v>796</v>
      </c>
      <c r="B335" s="11"/>
      <c r="C335" s="11"/>
      <c r="D335" s="11"/>
      <c r="E335" s="11"/>
      <c r="F335" s="11"/>
      <c r="G335" s="11"/>
      <c r="H335" s="11"/>
      <c r="I335" s="11"/>
      <c r="J335" s="11"/>
      <c r="K335" s="12"/>
      <c r="L335" s="12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2"/>
      <c r="AD335" s="11"/>
      <c r="AE335" s="11"/>
      <c r="AF335" s="11" t="str">
        <f t="shared" si="5"/>
        <v/>
      </c>
      <c r="AG335" s="11"/>
      <c r="AH335" s="11"/>
      <c r="AI335" s="11"/>
    </row>
    <row r="336" spans="1:35" x14ac:dyDescent="0.3">
      <c r="A336" s="11" t="s">
        <v>797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2"/>
      <c r="L336" s="12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2"/>
      <c r="AD336" s="11"/>
      <c r="AE336" s="11"/>
      <c r="AF336" s="11" t="str">
        <f t="shared" si="5"/>
        <v/>
      </c>
      <c r="AG336" s="11"/>
      <c r="AH336" s="11"/>
      <c r="AI336" s="11"/>
    </row>
    <row r="337" spans="1:35" x14ac:dyDescent="0.3">
      <c r="A337" s="11" t="s">
        <v>798</v>
      </c>
      <c r="B337" s="11"/>
      <c r="C337" s="11"/>
      <c r="D337" s="11"/>
      <c r="E337" s="11"/>
      <c r="F337" s="11"/>
      <c r="G337" s="11"/>
      <c r="H337" s="11"/>
      <c r="I337" s="11"/>
      <c r="J337" s="11"/>
      <c r="K337" s="12"/>
      <c r="L337" s="12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2"/>
      <c r="AD337" s="11"/>
      <c r="AE337" s="11"/>
      <c r="AF337" s="11" t="str">
        <f t="shared" si="5"/>
        <v/>
      </c>
      <c r="AG337" s="11"/>
      <c r="AH337" s="11"/>
      <c r="AI337" s="11"/>
    </row>
    <row r="338" spans="1:35" x14ac:dyDescent="0.3">
      <c r="A338" s="11" t="s">
        <v>799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2"/>
      <c r="L338" s="12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2"/>
      <c r="AD338" s="11"/>
      <c r="AE338" s="11"/>
      <c r="AF338" s="11" t="str">
        <f t="shared" si="5"/>
        <v/>
      </c>
      <c r="AG338" s="11"/>
      <c r="AH338" s="11"/>
      <c r="AI338" s="11"/>
    </row>
    <row r="339" spans="1:35" x14ac:dyDescent="0.3">
      <c r="A339" s="11" t="s">
        <v>800</v>
      </c>
      <c r="B339" s="11"/>
      <c r="C339" s="11"/>
      <c r="D339" s="11"/>
      <c r="E339" s="11"/>
      <c r="F339" s="11"/>
      <c r="G339" s="11"/>
      <c r="H339" s="11"/>
      <c r="I339" s="11"/>
      <c r="J339" s="11"/>
      <c r="K339" s="12"/>
      <c r="L339" s="12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2"/>
      <c r="AD339" s="11"/>
      <c r="AE339" s="11"/>
      <c r="AF339" s="11" t="str">
        <f t="shared" si="5"/>
        <v/>
      </c>
      <c r="AG339" s="11"/>
      <c r="AH339" s="11"/>
      <c r="AI339" s="11"/>
    </row>
    <row r="340" spans="1:35" x14ac:dyDescent="0.3">
      <c r="A340" s="11" t="s">
        <v>801</v>
      </c>
      <c r="B340" s="11"/>
      <c r="C340" s="11"/>
      <c r="D340" s="11"/>
      <c r="E340" s="11"/>
      <c r="F340" s="11"/>
      <c r="G340" s="11"/>
      <c r="H340" s="11"/>
      <c r="I340" s="11"/>
      <c r="J340" s="11"/>
      <c r="K340" s="12"/>
      <c r="L340" s="12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2"/>
      <c r="AD340" s="11"/>
      <c r="AE340" s="11"/>
      <c r="AF340" s="11" t="str">
        <f t="shared" si="5"/>
        <v/>
      </c>
      <c r="AG340" s="11"/>
      <c r="AH340" s="11"/>
      <c r="AI340" s="11"/>
    </row>
    <row r="341" spans="1:35" x14ac:dyDescent="0.3">
      <c r="A341" s="11" t="s">
        <v>802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2"/>
      <c r="L341" s="12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2"/>
      <c r="AD341" s="11"/>
      <c r="AE341" s="11"/>
      <c r="AF341" s="11" t="str">
        <f t="shared" si="5"/>
        <v/>
      </c>
      <c r="AG341" s="11"/>
      <c r="AH341" s="11"/>
      <c r="AI341" s="11"/>
    </row>
    <row r="342" spans="1:35" x14ac:dyDescent="0.3">
      <c r="A342" s="11" t="s">
        <v>803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2"/>
      <c r="L342" s="12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2"/>
      <c r="AD342" s="11"/>
      <c r="AE342" s="11"/>
      <c r="AF342" s="11" t="str">
        <f t="shared" si="5"/>
        <v/>
      </c>
      <c r="AG342" s="11"/>
      <c r="AH342" s="11"/>
      <c r="AI342" s="11"/>
    </row>
    <row r="343" spans="1:35" x14ac:dyDescent="0.3">
      <c r="A343" s="11" t="s">
        <v>804</v>
      </c>
      <c r="B343" s="11"/>
      <c r="C343" s="11"/>
      <c r="D343" s="11"/>
      <c r="E343" s="11"/>
      <c r="F343" s="11"/>
      <c r="G343" s="11"/>
      <c r="H343" s="11"/>
      <c r="I343" s="11"/>
      <c r="J343" s="11"/>
      <c r="K343" s="12"/>
      <c r="L343" s="12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2"/>
      <c r="AD343" s="11"/>
      <c r="AE343" s="11"/>
      <c r="AF343" s="11" t="str">
        <f t="shared" si="5"/>
        <v/>
      </c>
      <c r="AG343" s="11"/>
      <c r="AH343" s="11"/>
      <c r="AI343" s="11"/>
    </row>
    <row r="344" spans="1:35" x14ac:dyDescent="0.3">
      <c r="A344" s="11" t="s">
        <v>805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2"/>
      <c r="L344" s="12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2"/>
      <c r="AD344" s="11"/>
      <c r="AE344" s="11"/>
      <c r="AF344" s="11" t="str">
        <f t="shared" si="5"/>
        <v/>
      </c>
      <c r="AG344" s="11"/>
      <c r="AH344" s="11"/>
      <c r="AI344" s="11"/>
    </row>
    <row r="345" spans="1:35" x14ac:dyDescent="0.3">
      <c r="A345" s="11" t="s">
        <v>806</v>
      </c>
      <c r="B345" s="11"/>
      <c r="C345" s="11"/>
      <c r="D345" s="11"/>
      <c r="E345" s="11"/>
      <c r="F345" s="11"/>
      <c r="G345" s="11"/>
      <c r="H345" s="11"/>
      <c r="I345" s="11"/>
      <c r="J345" s="11"/>
      <c r="K345" s="12"/>
      <c r="L345" s="12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2"/>
      <c r="AD345" s="11"/>
      <c r="AE345" s="11"/>
      <c r="AF345" s="11" t="str">
        <f t="shared" si="5"/>
        <v/>
      </c>
      <c r="AG345" s="11"/>
      <c r="AH345" s="11"/>
      <c r="AI345" s="11"/>
    </row>
    <row r="346" spans="1:35" x14ac:dyDescent="0.3">
      <c r="A346" s="11" t="s">
        <v>807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2"/>
      <c r="L346" s="12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2"/>
      <c r="AD346" s="11"/>
      <c r="AE346" s="11"/>
      <c r="AF346" s="11" t="str">
        <f t="shared" si="5"/>
        <v/>
      </c>
      <c r="AG346" s="11"/>
      <c r="AH346" s="11"/>
      <c r="AI346" s="11"/>
    </row>
    <row r="347" spans="1:35" x14ac:dyDescent="0.3">
      <c r="A347" s="11" t="s">
        <v>808</v>
      </c>
      <c r="B347" s="11"/>
      <c r="C347" s="11"/>
      <c r="D347" s="11"/>
      <c r="E347" s="11"/>
      <c r="F347" s="11"/>
      <c r="G347" s="11"/>
      <c r="H347" s="11"/>
      <c r="I347" s="11"/>
      <c r="J347" s="11"/>
      <c r="K347" s="12"/>
      <c r="L347" s="12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2"/>
      <c r="AD347" s="11"/>
      <c r="AE347" s="11"/>
      <c r="AF347" s="11" t="str">
        <f t="shared" si="5"/>
        <v/>
      </c>
      <c r="AG347" s="11"/>
      <c r="AH347" s="11"/>
      <c r="AI347" s="11"/>
    </row>
    <row r="348" spans="1:35" x14ac:dyDescent="0.3">
      <c r="A348" s="11" t="s">
        <v>809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2"/>
      <c r="L348" s="12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2"/>
      <c r="AD348" s="11"/>
      <c r="AE348" s="11"/>
      <c r="AF348" s="11" t="str">
        <f t="shared" si="5"/>
        <v/>
      </c>
      <c r="AG348" s="11"/>
      <c r="AH348" s="11"/>
      <c r="AI348" s="11"/>
    </row>
    <row r="349" spans="1:35" x14ac:dyDescent="0.3">
      <c r="A349" s="11" t="s">
        <v>810</v>
      </c>
      <c r="B349" s="11"/>
      <c r="C349" s="11"/>
      <c r="D349" s="11"/>
      <c r="E349" s="11"/>
      <c r="F349" s="11"/>
      <c r="G349" s="11"/>
      <c r="H349" s="11"/>
      <c r="I349" s="11"/>
      <c r="J349" s="11"/>
      <c r="K349" s="12"/>
      <c r="L349" s="12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2"/>
      <c r="AD349" s="11"/>
      <c r="AE349" s="11"/>
      <c r="AF349" s="11" t="str">
        <f t="shared" si="5"/>
        <v/>
      </c>
      <c r="AG349" s="11"/>
      <c r="AH349" s="11"/>
      <c r="AI349" s="11"/>
    </row>
    <row r="350" spans="1:35" x14ac:dyDescent="0.3">
      <c r="A350" s="11" t="s">
        <v>811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2"/>
      <c r="L350" s="12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2"/>
      <c r="AD350" s="11"/>
      <c r="AE350" s="11"/>
      <c r="AF350" s="11" t="str">
        <f t="shared" si="5"/>
        <v/>
      </c>
      <c r="AG350" s="11"/>
      <c r="AH350" s="11"/>
      <c r="AI350" s="11"/>
    </row>
    <row r="351" spans="1:35" x14ac:dyDescent="0.3">
      <c r="A351" s="11" t="s">
        <v>812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2"/>
      <c r="L351" s="12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2"/>
      <c r="AD351" s="11"/>
      <c r="AE351" s="11"/>
      <c r="AF351" s="11" t="str">
        <f t="shared" si="5"/>
        <v/>
      </c>
      <c r="AG351" s="11"/>
      <c r="AH351" s="11"/>
      <c r="AI351" s="11"/>
    </row>
    <row r="352" spans="1:35" x14ac:dyDescent="0.3">
      <c r="A352" s="11" t="s">
        <v>813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2"/>
      <c r="L352" s="12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2"/>
      <c r="AD352" s="11"/>
      <c r="AE352" s="11"/>
      <c r="AF352" s="11" t="str">
        <f t="shared" si="5"/>
        <v/>
      </c>
      <c r="AG352" s="11"/>
      <c r="AH352" s="11"/>
      <c r="AI352" s="11"/>
    </row>
    <row r="353" spans="1:35" x14ac:dyDescent="0.3">
      <c r="A353" s="11" t="s">
        <v>814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2"/>
      <c r="L353" s="12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2"/>
      <c r="AD353" s="11"/>
      <c r="AE353" s="11"/>
      <c r="AF353" s="11" t="str">
        <f t="shared" si="5"/>
        <v/>
      </c>
      <c r="AG353" s="11"/>
      <c r="AH353" s="11"/>
      <c r="AI353" s="11"/>
    </row>
    <row r="354" spans="1:35" x14ac:dyDescent="0.3">
      <c r="A354" s="11" t="s">
        <v>815</v>
      </c>
      <c r="B354" s="11"/>
      <c r="C354" s="11"/>
      <c r="D354" s="11"/>
      <c r="E354" s="11"/>
      <c r="F354" s="11"/>
      <c r="G354" s="11"/>
      <c r="H354" s="11"/>
      <c r="I354" s="11"/>
      <c r="J354" s="11"/>
      <c r="K354" s="12"/>
      <c r="L354" s="12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2"/>
      <c r="AD354" s="11"/>
      <c r="AE354" s="11"/>
      <c r="AF354" s="11" t="str">
        <f t="shared" si="5"/>
        <v/>
      </c>
      <c r="AG354" s="11"/>
      <c r="AH354" s="11"/>
      <c r="AI354" s="11"/>
    </row>
    <row r="355" spans="1:35" x14ac:dyDescent="0.3">
      <c r="A355" s="11" t="s">
        <v>816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2"/>
      <c r="L355" s="12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2"/>
      <c r="AD355" s="11"/>
      <c r="AE355" s="11"/>
      <c r="AF355" s="11" t="str">
        <f t="shared" si="5"/>
        <v/>
      </c>
      <c r="AG355" s="11"/>
      <c r="AH355" s="11"/>
      <c r="AI355" s="11"/>
    </row>
    <row r="356" spans="1:35" x14ac:dyDescent="0.3">
      <c r="A356" s="11" t="s">
        <v>817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2"/>
      <c r="L356" s="12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2"/>
      <c r="AD356" s="11"/>
      <c r="AE356" s="11"/>
      <c r="AF356" s="11" t="str">
        <f t="shared" si="5"/>
        <v/>
      </c>
      <c r="AG356" s="11"/>
      <c r="AH356" s="11"/>
      <c r="AI356" s="11"/>
    </row>
    <row r="357" spans="1:35" x14ac:dyDescent="0.3">
      <c r="A357" s="11" t="s">
        <v>818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2"/>
      <c r="L357" s="12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2"/>
      <c r="AD357" s="11"/>
      <c r="AE357" s="11"/>
      <c r="AF357" s="11" t="str">
        <f t="shared" si="5"/>
        <v/>
      </c>
      <c r="AG357" s="11"/>
      <c r="AH357" s="11"/>
      <c r="AI357" s="11"/>
    </row>
    <row r="358" spans="1:35" x14ac:dyDescent="0.3">
      <c r="A358" s="11" t="s">
        <v>819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2"/>
      <c r="L358" s="12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2"/>
      <c r="AD358" s="11"/>
      <c r="AE358" s="11"/>
      <c r="AF358" s="11" t="str">
        <f t="shared" si="5"/>
        <v/>
      </c>
      <c r="AG358" s="11"/>
      <c r="AH358" s="11"/>
      <c r="AI358" s="11"/>
    </row>
    <row r="359" spans="1:35" x14ac:dyDescent="0.3">
      <c r="A359" s="11" t="s">
        <v>820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2"/>
      <c r="L359" s="12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2"/>
      <c r="AD359" s="11"/>
      <c r="AE359" s="11"/>
      <c r="AF359" s="11" t="str">
        <f t="shared" si="5"/>
        <v/>
      </c>
      <c r="AG359" s="11"/>
      <c r="AH359" s="11"/>
      <c r="AI359" s="11"/>
    </row>
    <row r="360" spans="1:35" x14ac:dyDescent="0.3">
      <c r="A360" s="11" t="s">
        <v>821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12"/>
      <c r="L360" s="12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2"/>
      <c r="AD360" s="11"/>
      <c r="AE360" s="11"/>
      <c r="AF360" s="11" t="str">
        <f t="shared" si="5"/>
        <v/>
      </c>
      <c r="AG360" s="11"/>
      <c r="AH360" s="11"/>
      <c r="AI360" s="11"/>
    </row>
    <row r="361" spans="1:35" x14ac:dyDescent="0.3">
      <c r="A361" s="11" t="s">
        <v>822</v>
      </c>
      <c r="B361" s="11"/>
      <c r="C361" s="11"/>
      <c r="D361" s="11"/>
      <c r="E361" s="11"/>
      <c r="F361" s="11"/>
      <c r="G361" s="11"/>
      <c r="H361" s="11"/>
      <c r="I361" s="11"/>
      <c r="J361" s="11"/>
      <c r="K361" s="12"/>
      <c r="L361" s="12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2"/>
      <c r="AD361" s="11"/>
      <c r="AE361" s="11"/>
      <c r="AF361" s="11" t="str">
        <f t="shared" si="5"/>
        <v/>
      </c>
      <c r="AG361" s="11"/>
      <c r="AH361" s="11"/>
      <c r="AI361" s="11"/>
    </row>
    <row r="362" spans="1:35" x14ac:dyDescent="0.3">
      <c r="A362" s="11" t="s">
        <v>823</v>
      </c>
      <c r="B362" s="11"/>
      <c r="C362" s="11"/>
      <c r="D362" s="11"/>
      <c r="E362" s="11"/>
      <c r="F362" s="11"/>
      <c r="G362" s="11"/>
      <c r="H362" s="11"/>
      <c r="I362" s="11"/>
      <c r="J362" s="11"/>
      <c r="K362" s="12"/>
      <c r="L362" s="12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2"/>
      <c r="AD362" s="11"/>
      <c r="AE362" s="11"/>
      <c r="AF362" s="11" t="str">
        <f t="shared" si="5"/>
        <v/>
      </c>
      <c r="AG362" s="11"/>
      <c r="AH362" s="11"/>
      <c r="AI362" s="11"/>
    </row>
    <row r="363" spans="1:35" x14ac:dyDescent="0.3">
      <c r="A363" s="11" t="s">
        <v>824</v>
      </c>
      <c r="B363" s="11"/>
      <c r="C363" s="11"/>
      <c r="D363" s="11"/>
      <c r="E363" s="11"/>
      <c r="F363" s="11"/>
      <c r="G363" s="11"/>
      <c r="H363" s="11"/>
      <c r="I363" s="11"/>
      <c r="J363" s="11"/>
      <c r="K363" s="12"/>
      <c r="L363" s="12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2"/>
      <c r="AD363" s="11"/>
      <c r="AE363" s="11"/>
      <c r="AF363" s="11" t="str">
        <f t="shared" si="5"/>
        <v/>
      </c>
      <c r="AG363" s="11"/>
      <c r="AH363" s="11"/>
      <c r="AI363" s="11"/>
    </row>
    <row r="364" spans="1:35" x14ac:dyDescent="0.3">
      <c r="A364" s="11" t="s">
        <v>825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2"/>
      <c r="L364" s="12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2"/>
      <c r="AD364" s="11"/>
      <c r="AE364" s="11"/>
      <c r="AF364" s="11" t="str">
        <f t="shared" si="5"/>
        <v/>
      </c>
      <c r="AG364" s="11"/>
      <c r="AH364" s="11"/>
      <c r="AI364" s="11"/>
    </row>
    <row r="365" spans="1:35" x14ac:dyDescent="0.3">
      <c r="A365" s="11" t="s">
        <v>826</v>
      </c>
      <c r="B365" s="11"/>
      <c r="C365" s="11"/>
      <c r="D365" s="11"/>
      <c r="E365" s="11"/>
      <c r="F365" s="11"/>
      <c r="G365" s="11"/>
      <c r="H365" s="11"/>
      <c r="I365" s="11"/>
      <c r="J365" s="11"/>
      <c r="K365" s="12"/>
      <c r="L365" s="12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2"/>
      <c r="AD365" s="11"/>
      <c r="AE365" s="11"/>
      <c r="AF365" s="11" t="str">
        <f t="shared" si="5"/>
        <v/>
      </c>
      <c r="AG365" s="11"/>
      <c r="AH365" s="11"/>
      <c r="AI365" s="11"/>
    </row>
    <row r="366" spans="1:35" x14ac:dyDescent="0.3">
      <c r="A366" s="11" t="s">
        <v>827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2"/>
      <c r="L366" s="12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2"/>
      <c r="AD366" s="11"/>
      <c r="AE366" s="11"/>
      <c r="AF366" s="11" t="str">
        <f t="shared" si="5"/>
        <v/>
      </c>
      <c r="AG366" s="11"/>
      <c r="AH366" s="11"/>
      <c r="AI366" s="11"/>
    </row>
    <row r="367" spans="1:35" x14ac:dyDescent="0.3">
      <c r="A367" s="11" t="s">
        <v>828</v>
      </c>
      <c r="B367" s="11"/>
      <c r="C367" s="11"/>
      <c r="D367" s="11"/>
      <c r="E367" s="11"/>
      <c r="F367" s="11"/>
      <c r="G367" s="11"/>
      <c r="H367" s="11"/>
      <c r="I367" s="11"/>
      <c r="J367" s="11"/>
      <c r="K367" s="12"/>
      <c r="L367" s="12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2"/>
      <c r="AD367" s="11"/>
      <c r="AE367" s="11"/>
      <c r="AF367" s="11" t="str">
        <f t="shared" si="5"/>
        <v/>
      </c>
      <c r="AG367" s="11"/>
      <c r="AH367" s="11"/>
      <c r="AI367" s="11"/>
    </row>
    <row r="368" spans="1:35" x14ac:dyDescent="0.3">
      <c r="A368" s="11" t="s">
        <v>829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2"/>
      <c r="L368" s="12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2"/>
      <c r="AD368" s="11"/>
      <c r="AE368" s="11"/>
      <c r="AF368" s="11" t="str">
        <f t="shared" si="5"/>
        <v/>
      </c>
      <c r="AG368" s="11"/>
      <c r="AH368" s="11"/>
      <c r="AI368" s="11"/>
    </row>
    <row r="369" spans="1:35" x14ac:dyDescent="0.3">
      <c r="A369" s="11" t="s">
        <v>830</v>
      </c>
      <c r="B369" s="11"/>
      <c r="C369" s="11"/>
      <c r="D369" s="11"/>
      <c r="E369" s="11"/>
      <c r="F369" s="11"/>
      <c r="G369" s="11"/>
      <c r="H369" s="11"/>
      <c r="I369" s="11"/>
      <c r="J369" s="11"/>
      <c r="K369" s="12"/>
      <c r="L369" s="12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2"/>
      <c r="AD369" s="11"/>
      <c r="AE369" s="11"/>
      <c r="AF369" s="11" t="str">
        <f t="shared" si="5"/>
        <v/>
      </c>
      <c r="AG369" s="11"/>
      <c r="AH369" s="11"/>
      <c r="AI369" s="11"/>
    </row>
    <row r="370" spans="1:35" x14ac:dyDescent="0.3">
      <c r="A370" s="11" t="s">
        <v>831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2"/>
      <c r="L370" s="12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2"/>
      <c r="AD370" s="11"/>
      <c r="AE370" s="11"/>
      <c r="AF370" s="11" t="str">
        <f t="shared" si="5"/>
        <v/>
      </c>
      <c r="AG370" s="11"/>
      <c r="AH370" s="11"/>
      <c r="AI370" s="11"/>
    </row>
    <row r="371" spans="1:35" x14ac:dyDescent="0.3">
      <c r="A371" s="11" t="s">
        <v>832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2"/>
      <c r="L371" s="12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2"/>
      <c r="AD371" s="11"/>
      <c r="AE371" s="11"/>
      <c r="AF371" s="11" t="str">
        <f t="shared" si="5"/>
        <v/>
      </c>
      <c r="AG371" s="11"/>
      <c r="AH371" s="11"/>
      <c r="AI371" s="11"/>
    </row>
    <row r="372" spans="1:35" x14ac:dyDescent="0.3">
      <c r="A372" s="11" t="s">
        <v>833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2"/>
      <c r="L372" s="12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2"/>
      <c r="AD372" s="11"/>
      <c r="AE372" s="11"/>
      <c r="AF372" s="11" t="str">
        <f t="shared" si="5"/>
        <v/>
      </c>
      <c r="AG372" s="11"/>
      <c r="AH372" s="11"/>
      <c r="AI372" s="11"/>
    </row>
    <row r="373" spans="1:35" x14ac:dyDescent="0.3">
      <c r="A373" s="11" t="s">
        <v>834</v>
      </c>
      <c r="B373" s="11"/>
      <c r="C373" s="11"/>
      <c r="D373" s="11"/>
      <c r="E373" s="11"/>
      <c r="F373" s="11"/>
      <c r="G373" s="11"/>
      <c r="H373" s="11"/>
      <c r="I373" s="11"/>
      <c r="J373" s="11"/>
      <c r="K373" s="12"/>
      <c r="L373" s="12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2"/>
      <c r="AD373" s="11"/>
      <c r="AE373" s="11"/>
      <c r="AF373" s="11" t="str">
        <f t="shared" si="5"/>
        <v/>
      </c>
      <c r="AG373" s="11"/>
      <c r="AH373" s="11"/>
      <c r="AI373" s="11"/>
    </row>
    <row r="374" spans="1:35" x14ac:dyDescent="0.3">
      <c r="A374" s="11" t="s">
        <v>835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2"/>
      <c r="L374" s="12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2"/>
      <c r="AD374" s="11"/>
      <c r="AE374" s="11"/>
      <c r="AF374" s="11" t="str">
        <f t="shared" si="5"/>
        <v/>
      </c>
      <c r="AG374" s="11"/>
      <c r="AH374" s="11"/>
      <c r="AI374" s="11"/>
    </row>
    <row r="375" spans="1:35" x14ac:dyDescent="0.3">
      <c r="A375" s="11" t="s">
        <v>836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2"/>
      <c r="L375" s="12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2"/>
      <c r="AD375" s="11"/>
      <c r="AE375" s="11"/>
      <c r="AF375" s="11" t="str">
        <f t="shared" si="5"/>
        <v/>
      </c>
      <c r="AG375" s="11"/>
      <c r="AH375" s="11"/>
      <c r="AI375" s="11"/>
    </row>
    <row r="376" spans="1:35" x14ac:dyDescent="0.3">
      <c r="A376" s="11" t="s">
        <v>837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2"/>
      <c r="L376" s="12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2"/>
      <c r="AD376" s="11"/>
      <c r="AE376" s="11"/>
      <c r="AF376" s="11" t="str">
        <f t="shared" si="5"/>
        <v/>
      </c>
      <c r="AG376" s="11"/>
      <c r="AH376" s="11"/>
      <c r="AI376" s="11"/>
    </row>
    <row r="377" spans="1:35" x14ac:dyDescent="0.3">
      <c r="A377" s="11" t="s">
        <v>838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2"/>
      <c r="L377" s="12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2"/>
      <c r="AD377" s="11"/>
      <c r="AE377" s="11"/>
      <c r="AF377" s="11" t="str">
        <f t="shared" si="5"/>
        <v/>
      </c>
      <c r="AG377" s="11"/>
      <c r="AH377" s="11"/>
      <c r="AI377" s="11"/>
    </row>
    <row r="378" spans="1:35" x14ac:dyDescent="0.3">
      <c r="A378" s="11" t="s">
        <v>839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2"/>
      <c r="L378" s="12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2"/>
      <c r="AD378" s="11"/>
      <c r="AE378" s="11"/>
      <c r="AF378" s="11" t="str">
        <f t="shared" si="5"/>
        <v/>
      </c>
      <c r="AG378" s="11"/>
      <c r="AH378" s="11"/>
      <c r="AI378" s="11"/>
    </row>
    <row r="379" spans="1:35" x14ac:dyDescent="0.3">
      <c r="A379" s="11" t="s">
        <v>840</v>
      </c>
      <c r="B379" s="11"/>
      <c r="C379" s="11"/>
      <c r="D379" s="11"/>
      <c r="E379" s="11"/>
      <c r="F379" s="11"/>
      <c r="G379" s="11"/>
      <c r="H379" s="11"/>
      <c r="I379" s="11"/>
      <c r="J379" s="11"/>
      <c r="K379" s="12"/>
      <c r="L379" s="12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2"/>
      <c r="AD379" s="11"/>
      <c r="AE379" s="11"/>
      <c r="AF379" s="11" t="str">
        <f t="shared" si="5"/>
        <v/>
      </c>
      <c r="AG379" s="11"/>
      <c r="AH379" s="11"/>
      <c r="AI379" s="11"/>
    </row>
    <row r="380" spans="1:35" x14ac:dyDescent="0.3">
      <c r="A380" s="11" t="s">
        <v>841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2"/>
      <c r="L380" s="12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2"/>
      <c r="AD380" s="11"/>
      <c r="AE380" s="11"/>
      <c r="AF380" s="11" t="str">
        <f t="shared" si="5"/>
        <v/>
      </c>
      <c r="AG380" s="11"/>
      <c r="AH380" s="11"/>
      <c r="AI380" s="11"/>
    </row>
    <row r="381" spans="1:35" x14ac:dyDescent="0.3">
      <c r="A381" s="11" t="s">
        <v>842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2"/>
      <c r="L381" s="12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2"/>
      <c r="AD381" s="11"/>
      <c r="AE381" s="11"/>
      <c r="AF381" s="11" t="str">
        <f t="shared" si="5"/>
        <v/>
      </c>
      <c r="AG381" s="11"/>
      <c r="AH381" s="11"/>
      <c r="AI381" s="11"/>
    </row>
    <row r="382" spans="1:35" x14ac:dyDescent="0.3">
      <c r="A382" s="11" t="s">
        <v>843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2"/>
      <c r="L382" s="12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2"/>
      <c r="AD382" s="11"/>
      <c r="AE382" s="11"/>
      <c r="AF382" s="11" t="str">
        <f t="shared" si="5"/>
        <v/>
      </c>
      <c r="AG382" s="11"/>
      <c r="AH382" s="11"/>
      <c r="AI382" s="11"/>
    </row>
    <row r="383" spans="1:35" x14ac:dyDescent="0.3">
      <c r="A383" s="11" t="s">
        <v>844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2"/>
      <c r="L383" s="12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2"/>
      <c r="AD383" s="11"/>
      <c r="AE383" s="11"/>
      <c r="AF383" s="11" t="str">
        <f t="shared" si="5"/>
        <v/>
      </c>
      <c r="AG383" s="11"/>
      <c r="AH383" s="11"/>
      <c r="AI383" s="11"/>
    </row>
    <row r="384" spans="1:35" x14ac:dyDescent="0.3">
      <c r="A384" s="11" t="s">
        <v>845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2"/>
      <c r="L384" s="12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2"/>
      <c r="AD384" s="11"/>
      <c r="AE384" s="11"/>
      <c r="AF384" s="11" t="str">
        <f t="shared" si="5"/>
        <v/>
      </c>
      <c r="AG384" s="11"/>
      <c r="AH384" s="11"/>
      <c r="AI384" s="11"/>
    </row>
    <row r="385" spans="1:35" x14ac:dyDescent="0.3">
      <c r="A385" s="11" t="s">
        <v>846</v>
      </c>
      <c r="B385" s="11"/>
      <c r="C385" s="11"/>
      <c r="D385" s="11"/>
      <c r="E385" s="11"/>
      <c r="F385" s="11"/>
      <c r="G385" s="11"/>
      <c r="H385" s="11"/>
      <c r="I385" s="11"/>
      <c r="J385" s="11"/>
      <c r="K385" s="12"/>
      <c r="L385" s="12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2"/>
      <c r="AD385" s="11"/>
      <c r="AE385" s="11"/>
      <c r="AF385" s="11" t="str">
        <f t="shared" si="5"/>
        <v/>
      </c>
      <c r="AG385" s="11"/>
      <c r="AH385" s="11"/>
      <c r="AI385" s="11"/>
    </row>
    <row r="386" spans="1:35" x14ac:dyDescent="0.3">
      <c r="A386" s="11" t="s">
        <v>847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2"/>
      <c r="L386" s="12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2"/>
      <c r="AD386" s="11"/>
      <c r="AE386" s="11"/>
      <c r="AF386" s="11" t="str">
        <f t="shared" si="5"/>
        <v/>
      </c>
      <c r="AG386" s="11"/>
      <c r="AH386" s="11"/>
      <c r="AI386" s="11"/>
    </row>
    <row r="387" spans="1:35" x14ac:dyDescent="0.3">
      <c r="A387" s="11" t="s">
        <v>848</v>
      </c>
      <c r="B387" s="11"/>
      <c r="C387" s="11"/>
      <c r="D387" s="11"/>
      <c r="E387" s="11"/>
      <c r="F387" s="11"/>
      <c r="G387" s="11"/>
      <c r="H387" s="11"/>
      <c r="I387" s="11"/>
      <c r="J387" s="11"/>
      <c r="K387" s="12"/>
      <c r="L387" s="12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2"/>
      <c r="AD387" s="11"/>
      <c r="AE387" s="11"/>
      <c r="AF387" s="11" t="str">
        <f t="shared" si="5"/>
        <v/>
      </c>
      <c r="AG387" s="11"/>
      <c r="AH387" s="11"/>
      <c r="AI387" s="11"/>
    </row>
    <row r="388" spans="1:35" x14ac:dyDescent="0.3">
      <c r="A388" s="11" t="s">
        <v>849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2"/>
      <c r="L388" s="12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2"/>
      <c r="AD388" s="11"/>
      <c r="AE388" s="11"/>
      <c r="AF388" s="11" t="str">
        <f t="shared" si="5"/>
        <v/>
      </c>
      <c r="AG388" s="11"/>
      <c r="AH388" s="11"/>
      <c r="AI388" s="11"/>
    </row>
    <row r="389" spans="1:35" x14ac:dyDescent="0.3">
      <c r="A389" s="11" t="s">
        <v>850</v>
      </c>
      <c r="B389" s="11"/>
      <c r="C389" s="11"/>
      <c r="D389" s="11"/>
      <c r="E389" s="11"/>
      <c r="F389" s="11"/>
      <c r="G389" s="11"/>
      <c r="H389" s="11"/>
      <c r="I389" s="11"/>
      <c r="J389" s="11"/>
      <c r="K389" s="12"/>
      <c r="L389" s="12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2"/>
      <c r="AD389" s="11"/>
      <c r="AE389" s="11"/>
      <c r="AF389" s="11" t="str">
        <f t="shared" ref="AF389:AF400" si="6">IF($H389="","",IF($T389="To find","Not started",IF(($C389="")+($D389="")+($E389="")+($G389="")+($I389="")+($M389="")+($O389="")+($S389="")&gt;0,"Missing basic details",IF(AND($T389="Downloaded",($R389="")+($U389="")+($V389="")+(($W389="")*(RIGHT(LOWER($U389),4)=".pdf"))&gt;0),"Add file details",IF(AND($T389="Downloaded",LEN($X389)&lt;&gt;64),"Check SHA-256",IF(AND($Q389="",$R389=""),"Add a URL",IF($S389="No","Not official - replace",IF($M389="Not verified","Verify status","OK"))))))))</f>
        <v/>
      </c>
      <c r="AG389" s="11"/>
      <c r="AH389" s="11"/>
      <c r="AI389" s="11"/>
    </row>
    <row r="390" spans="1:35" x14ac:dyDescent="0.3">
      <c r="A390" s="11" t="s">
        <v>851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2"/>
      <c r="L390" s="12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2"/>
      <c r="AD390" s="11"/>
      <c r="AE390" s="11"/>
      <c r="AF390" s="11" t="str">
        <f t="shared" si="6"/>
        <v/>
      </c>
      <c r="AG390" s="11"/>
      <c r="AH390" s="11"/>
      <c r="AI390" s="11"/>
    </row>
    <row r="391" spans="1:35" x14ac:dyDescent="0.3">
      <c r="A391" s="11" t="s">
        <v>852</v>
      </c>
      <c r="B391" s="11"/>
      <c r="C391" s="11"/>
      <c r="D391" s="11"/>
      <c r="E391" s="11"/>
      <c r="F391" s="11"/>
      <c r="G391" s="11"/>
      <c r="H391" s="11"/>
      <c r="I391" s="11"/>
      <c r="J391" s="11"/>
      <c r="K391" s="12"/>
      <c r="L391" s="12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2"/>
      <c r="AD391" s="11"/>
      <c r="AE391" s="11"/>
      <c r="AF391" s="11" t="str">
        <f t="shared" si="6"/>
        <v/>
      </c>
      <c r="AG391" s="11"/>
      <c r="AH391" s="11"/>
      <c r="AI391" s="11"/>
    </row>
    <row r="392" spans="1:35" x14ac:dyDescent="0.3">
      <c r="A392" s="11" t="s">
        <v>853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2"/>
      <c r="L392" s="12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2"/>
      <c r="AD392" s="11"/>
      <c r="AE392" s="11"/>
      <c r="AF392" s="11" t="str">
        <f t="shared" si="6"/>
        <v/>
      </c>
      <c r="AG392" s="11"/>
      <c r="AH392" s="11"/>
      <c r="AI392" s="11"/>
    </row>
    <row r="393" spans="1:35" x14ac:dyDescent="0.3">
      <c r="A393" s="11" t="s">
        <v>854</v>
      </c>
      <c r="B393" s="11"/>
      <c r="C393" s="11"/>
      <c r="D393" s="11"/>
      <c r="E393" s="11"/>
      <c r="F393" s="11"/>
      <c r="G393" s="11"/>
      <c r="H393" s="11"/>
      <c r="I393" s="11"/>
      <c r="J393" s="11"/>
      <c r="K393" s="12"/>
      <c r="L393" s="12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2"/>
      <c r="AD393" s="11"/>
      <c r="AE393" s="11"/>
      <c r="AF393" s="11" t="str">
        <f t="shared" si="6"/>
        <v/>
      </c>
      <c r="AG393" s="11"/>
      <c r="AH393" s="11"/>
      <c r="AI393" s="11"/>
    </row>
    <row r="394" spans="1:35" x14ac:dyDescent="0.3">
      <c r="A394" s="11" t="s">
        <v>855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2"/>
      <c r="L394" s="12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2"/>
      <c r="AD394" s="11"/>
      <c r="AE394" s="11"/>
      <c r="AF394" s="11" t="str">
        <f t="shared" si="6"/>
        <v/>
      </c>
      <c r="AG394" s="11"/>
      <c r="AH394" s="11"/>
      <c r="AI394" s="11"/>
    </row>
    <row r="395" spans="1:35" x14ac:dyDescent="0.3">
      <c r="A395" s="11" t="s">
        <v>856</v>
      </c>
      <c r="B395" s="11"/>
      <c r="C395" s="11"/>
      <c r="D395" s="11"/>
      <c r="E395" s="11"/>
      <c r="F395" s="11"/>
      <c r="G395" s="11"/>
      <c r="H395" s="11"/>
      <c r="I395" s="11"/>
      <c r="J395" s="11"/>
      <c r="K395" s="12"/>
      <c r="L395" s="12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2"/>
      <c r="AD395" s="11"/>
      <c r="AE395" s="11"/>
      <c r="AF395" s="11" t="str">
        <f t="shared" si="6"/>
        <v/>
      </c>
      <c r="AG395" s="11"/>
      <c r="AH395" s="11"/>
      <c r="AI395" s="11"/>
    </row>
    <row r="396" spans="1:35" x14ac:dyDescent="0.3">
      <c r="A396" s="11" t="s">
        <v>857</v>
      </c>
      <c r="B396" s="11"/>
      <c r="C396" s="11"/>
      <c r="D396" s="11"/>
      <c r="E396" s="11"/>
      <c r="F396" s="11"/>
      <c r="G396" s="11"/>
      <c r="H396" s="11"/>
      <c r="I396" s="11"/>
      <c r="J396" s="11"/>
      <c r="K396" s="12"/>
      <c r="L396" s="12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2"/>
      <c r="AD396" s="11"/>
      <c r="AE396" s="11"/>
      <c r="AF396" s="11" t="str">
        <f t="shared" si="6"/>
        <v/>
      </c>
      <c r="AG396" s="11"/>
      <c r="AH396" s="11"/>
      <c r="AI396" s="11"/>
    </row>
    <row r="397" spans="1:35" x14ac:dyDescent="0.3">
      <c r="A397" s="11" t="s">
        <v>858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2"/>
      <c r="L397" s="12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2"/>
      <c r="AD397" s="11"/>
      <c r="AE397" s="11"/>
      <c r="AF397" s="11" t="str">
        <f t="shared" si="6"/>
        <v/>
      </c>
      <c r="AG397" s="11"/>
      <c r="AH397" s="11"/>
      <c r="AI397" s="11"/>
    </row>
    <row r="398" spans="1:35" x14ac:dyDescent="0.3">
      <c r="A398" s="11" t="s">
        <v>859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2"/>
      <c r="L398" s="12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2"/>
      <c r="AD398" s="11"/>
      <c r="AE398" s="11"/>
      <c r="AF398" s="11" t="str">
        <f t="shared" si="6"/>
        <v/>
      </c>
      <c r="AG398" s="11"/>
      <c r="AH398" s="11"/>
      <c r="AI398" s="11"/>
    </row>
    <row r="399" spans="1:35" x14ac:dyDescent="0.3">
      <c r="A399" s="11" t="s">
        <v>860</v>
      </c>
      <c r="B399" s="11"/>
      <c r="C399" s="11"/>
      <c r="D399" s="11"/>
      <c r="E399" s="11"/>
      <c r="F399" s="11"/>
      <c r="G399" s="11"/>
      <c r="H399" s="11"/>
      <c r="I399" s="11"/>
      <c r="J399" s="11"/>
      <c r="K399" s="12"/>
      <c r="L399" s="12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2"/>
      <c r="AD399" s="11"/>
      <c r="AE399" s="11"/>
      <c r="AF399" s="11" t="str">
        <f t="shared" si="6"/>
        <v/>
      </c>
      <c r="AG399" s="11"/>
      <c r="AH399" s="11"/>
      <c r="AI399" s="11"/>
    </row>
    <row r="400" spans="1:35" x14ac:dyDescent="0.3">
      <c r="A400" s="11" t="s">
        <v>861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2"/>
      <c r="L400" s="12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2"/>
      <c r="AD400" s="11"/>
      <c r="AE400" s="11"/>
      <c r="AF400" s="11" t="str">
        <f t="shared" si="6"/>
        <v/>
      </c>
      <c r="AG400" s="11"/>
      <c r="AH400" s="11"/>
      <c r="AI400" s="11"/>
    </row>
  </sheetData>
  <autoFilter ref="A4:AI400"/>
  <conditionalFormatting sqref="AF5:AF400">
    <cfRule type="cellIs" dxfId="3" priority="1" operator="equal">
      <formula>"OK"</formula>
    </cfRule>
    <cfRule type="cellIs" dxfId="2" priority="2" operator="equal">
      <formula>"Not started"</formula>
    </cfRule>
    <cfRule type="expression" dxfId="1" priority="3">
      <formula>AND(AF5&lt;&gt;"",AF5&lt;&gt;"OK",AF5&lt;&gt;"Not started")</formula>
    </cfRule>
  </conditionalFormatting>
  <conditionalFormatting sqref="G5:G400">
    <cfRule type="expression" dxfId="0" priority="4">
      <formula>AND(G5&lt;&gt;"",COUNTIFS($G$5:$G$400,G5,$J$5:$J$400,J5&amp;"")&gt;1)</formula>
    </cfRule>
  </conditionalFormatting>
  <dataValidations count="1">
    <dataValidation type="date" allowBlank="1" showErrorMessage="1" error="Enter a date, e.g. 11-Aug-2023" sqref="K5:K400 L5:L400 AC5:AC400">
      <formula1>DATE(1950,1,1)</formula1>
      <formula2>DATE(2100,12,31)</formula2>
    </dataValidation>
  </dataValidations>
  <hyperlinks>
    <hyperlink ref="AE5" r:id="rId1"/>
    <hyperlink ref="AE6" r:id="rId2"/>
    <hyperlink ref="AE7" r:id="rId3"/>
    <hyperlink ref="AE8" r:id="rId4"/>
    <hyperlink ref="AE9" r:id="rId5"/>
    <hyperlink ref="AE10" r:id="rId6"/>
    <hyperlink ref="Q11" r:id="rId7"/>
    <hyperlink ref="R11" r:id="rId8"/>
    <hyperlink ref="Q12" r:id="rId9"/>
    <hyperlink ref="R12" r:id="rId10"/>
    <hyperlink ref="Q13" r:id="rId11"/>
    <hyperlink ref="R13" r:id="rId12"/>
    <hyperlink ref="AE14" r:id="rId13"/>
    <hyperlink ref="AE15" r:id="rId14"/>
    <hyperlink ref="AE16" r:id="rId15"/>
    <hyperlink ref="AE17" r:id="rId16"/>
    <hyperlink ref="AE18" r:id="rId17"/>
    <hyperlink ref="AE19" r:id="rId18"/>
    <hyperlink ref="Q20" r:id="rId19"/>
    <hyperlink ref="R20" r:id="rId20"/>
    <hyperlink ref="AE21" r:id="rId21"/>
    <hyperlink ref="AE22" r:id="rId22"/>
    <hyperlink ref="Q23" r:id="rId23"/>
    <hyperlink ref="R23" r:id="rId24"/>
    <hyperlink ref="Q24" r:id="rId25"/>
    <hyperlink ref="R24" r:id="rId26"/>
    <hyperlink ref="AE25" r:id="rId27"/>
    <hyperlink ref="AE26" r:id="rId28"/>
    <hyperlink ref="AE27" r:id="rId29"/>
    <hyperlink ref="AE28" r:id="rId30"/>
    <hyperlink ref="AE29" r:id="rId31"/>
    <hyperlink ref="AE30" r:id="rId32"/>
    <hyperlink ref="AE31" r:id="rId33"/>
    <hyperlink ref="AE32" r:id="rId34"/>
    <hyperlink ref="AE33" r:id="rId35"/>
    <hyperlink ref="AE34" r:id="rId36"/>
    <hyperlink ref="AE35" r:id="rId37"/>
    <hyperlink ref="AE36" r:id="rId38"/>
    <hyperlink ref="AE37" r:id="rId39"/>
    <hyperlink ref="AE38" r:id="rId40"/>
    <hyperlink ref="AE39" r:id="rId41"/>
    <hyperlink ref="AE40" r:id="rId42"/>
    <hyperlink ref="AE41" r:id="rId43"/>
    <hyperlink ref="AE42" r:id="rId44"/>
    <hyperlink ref="AE43" r:id="rId45"/>
    <hyperlink ref="AE44" r:id="rId46"/>
    <hyperlink ref="AE45" r:id="rId47"/>
    <hyperlink ref="AE53" r:id="rId48"/>
    <hyperlink ref="AE54" r:id="rId49"/>
    <hyperlink ref="AE55" r:id="rId50"/>
    <hyperlink ref="AE56" r:id="rId51"/>
    <hyperlink ref="AE57" r:id="rId52"/>
    <hyperlink ref="Q58" r:id="rId53"/>
    <hyperlink ref="R58" r:id="rId54"/>
    <hyperlink ref="Q59" r:id="rId55"/>
    <hyperlink ref="R59" r:id="rId56"/>
    <hyperlink ref="AE60" r:id="rId57"/>
    <hyperlink ref="AE61" r:id="rId58"/>
    <hyperlink ref="AE62" r:id="rId59"/>
    <hyperlink ref="AE63" r:id="rId60"/>
    <hyperlink ref="AE64" r:id="rId61"/>
    <hyperlink ref="AE65" r:id="rId62"/>
    <hyperlink ref="Q67" r:id="rId63"/>
    <hyperlink ref="R67" r:id="rId64"/>
    <hyperlink ref="Q68" r:id="rId65"/>
    <hyperlink ref="R68" r:id="rId66"/>
    <hyperlink ref="Q69" r:id="rId67"/>
    <hyperlink ref="R69" r:id="rId68"/>
    <hyperlink ref="AE70" r:id="rId69"/>
    <hyperlink ref="AE72" r:id="rId70"/>
    <hyperlink ref="AE73" r:id="rId71"/>
    <hyperlink ref="AE74" r:id="rId72"/>
    <hyperlink ref="AE75" r:id="rId73"/>
    <hyperlink ref="Q76" r:id="rId74"/>
    <hyperlink ref="R76" r:id="rId75"/>
    <hyperlink ref="Q77" r:id="rId76"/>
    <hyperlink ref="R77" r:id="rId77"/>
    <hyperlink ref="AE78" r:id="rId78"/>
    <hyperlink ref="Q79" r:id="rId79"/>
    <hyperlink ref="Q80" r:id="rId80"/>
    <hyperlink ref="AE81" r:id="rId81"/>
    <hyperlink ref="AE82" r:id="rId82"/>
    <hyperlink ref="AE83" r:id="rId83"/>
    <hyperlink ref="AE84" r:id="rId84"/>
    <hyperlink ref="AE85" r:id="rId85"/>
    <hyperlink ref="AE86" r:id="rId86"/>
    <hyperlink ref="AE88" r:id="rId87"/>
    <hyperlink ref="AE89" r:id="rId88"/>
    <hyperlink ref="AE90" r:id="rId89"/>
    <hyperlink ref="AE91" r:id="rId90"/>
    <hyperlink ref="AE92" r:id="rId91"/>
  </hyperlinks>
  <pageMargins left="0.75" right="0.75" top="1" bottom="1" header="0.5" footer="0.5"/>
  <legacyDrawing r:id="rId9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ErrorMessage="1" error="Pick a value from the list.">
          <x14:formula1>
            <xm:f>Lists!$A$3:$A$4</xm:f>
          </x14:formula1>
          <xm:sqref>B5:B400</xm:sqref>
        </x14:dataValidation>
        <x14:dataValidation type="list" allowBlank="1" showErrorMessage="1" error="Pick a value from the list.">
          <x14:formula1>
            <xm:f>Lists!$B$3:$B$10</xm:f>
          </x14:formula1>
          <xm:sqref>C5:C400</xm:sqref>
        </x14:dataValidation>
        <x14:dataValidation type="list" errorStyle="warning" allowBlank="1" error="Pick a value from the list.">
          <x14:formula1>
            <xm:f>Lists!$L$3:$L$24</xm:f>
          </x14:formula1>
          <xm:sqref>D5:D400</xm:sqref>
        </x14:dataValidation>
        <x14:dataValidation type="list" allowBlank="1" showErrorMessage="1" error="Pick a value from the list.">
          <x14:formula1>
            <xm:f>Lists!$C$3:$C$8</xm:f>
          </x14:formula1>
          <xm:sqref>E5:E400</xm:sqref>
        </x14:dataValidation>
        <x14:dataValidation type="list" allowBlank="1" showErrorMessage="1" error="Pick a value from the list.">
          <x14:formula1>
            <xm:f>Lists!$D$3:$D$6</xm:f>
          </x14:formula1>
          <xm:sqref>F5:F400</xm:sqref>
        </x14:dataValidation>
        <x14:dataValidation type="list" allowBlank="1" showErrorMessage="1" error="Pick a value from the list.">
          <x14:formula1>
            <xm:f>Lists!$E$3:$E$22</xm:f>
          </x14:formula1>
          <xm:sqref>I5:I400</xm:sqref>
        </x14:dataValidation>
        <x14:dataValidation type="list" allowBlank="1" showErrorMessage="1" error="Pick a value from the list.">
          <x14:formula1>
            <xm:f>Lists!$F$3:$F$8</xm:f>
          </x14:formula1>
          <xm:sqref>M5:M400</xm:sqref>
        </x14:dataValidation>
        <x14:dataValidation type="list" allowBlank="1" showErrorMessage="1" error="Pick a value from the list.">
          <x14:formula1>
            <xm:f>Lists!$G$3:$G$8</xm:f>
          </x14:formula1>
          <xm:sqref>T5:T400</xm:sqref>
        </x14:dataValidation>
        <x14:dataValidation type="list" allowBlank="1" showErrorMessage="1" error="Pick a value from the list.">
          <x14:formula1>
            <xm:f>Lists!$H$3:$H$4</xm:f>
          </x14:formula1>
          <xm:sqref>S5:S400</xm:sqref>
        </x14:dataValidation>
        <x14:dataValidation type="list" allowBlank="1" showErrorMessage="1" error="Pick a value from the list.">
          <x14:formula1>
            <xm:f>Lists!$H$3:$H$4</xm:f>
          </x14:formula1>
          <xm:sqref>Y5:Y400</xm:sqref>
        </x14:dataValidation>
        <x14:dataValidation type="list" allowBlank="1" showErrorMessage="1" error="Pick a value from the list.">
          <x14:formula1>
            <xm:f>Lists!$K$3:$K$6</xm:f>
          </x14:formula1>
          <xm:sqref>Z5:Z400</xm:sqref>
        </x14:dataValidation>
        <x14:dataValidation type="list" allowBlank="1" showErrorMessage="1" error="Pick a value from the list.">
          <x14:formula1>
            <xm:f>Lists!$I$3:$I$7</xm:f>
          </x14:formula1>
          <xm:sqref>AA5:AA400</xm:sqref>
        </x14:dataValidation>
        <x14:dataValidation type="list" allowBlank="1" showErrorMessage="1" error="Pick a value from the list.">
          <x14:formula1>
            <xm:f>Lists!$J$3:$J$5</xm:f>
          </x14:formula1>
          <xm:sqref>AG5:AG400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4.4" x14ac:dyDescent="0.3"/>
  <cols>
    <col min="1" max="1" width="36" customWidth="1"/>
    <col min="2" max="10" width="14" customWidth="1"/>
  </cols>
  <sheetData>
    <row r="1" spans="1:10" ht="17.399999999999999" x14ac:dyDescent="0.3">
      <c r="A1" s="6" t="s">
        <v>862</v>
      </c>
    </row>
    <row r="3" spans="1:10" x14ac:dyDescent="0.3">
      <c r="A3" s="17" t="s">
        <v>863</v>
      </c>
    </row>
    <row r="4" spans="1:10" ht="26.4" x14ac:dyDescent="0.3">
      <c r="A4" s="8" t="s">
        <v>864</v>
      </c>
      <c r="B4" s="8" t="s">
        <v>865</v>
      </c>
      <c r="C4" s="8" t="s">
        <v>866</v>
      </c>
      <c r="D4" s="8" t="s">
        <v>142</v>
      </c>
      <c r="E4" s="8" t="s">
        <v>867</v>
      </c>
      <c r="F4" s="8" t="s">
        <v>868</v>
      </c>
      <c r="G4" s="8" t="s">
        <v>869</v>
      </c>
      <c r="H4" s="8" t="s">
        <v>870</v>
      </c>
      <c r="I4" s="8" t="s">
        <v>871</v>
      </c>
      <c r="J4" s="8" t="s">
        <v>872</v>
      </c>
    </row>
    <row r="5" spans="1:10" x14ac:dyDescent="0.3">
      <c r="A5" s="18" t="str">
        <f>Lists!A3</f>
        <v>Intern A</v>
      </c>
      <c r="B5" s="18">
        <f>COUNTIFS('Source Register'!$B$5:$B$400,$A5,'Source Register'!$H$5:$H$400,"&lt;&gt;")</f>
        <v>48</v>
      </c>
      <c r="C5" s="18">
        <f>COUNTIFS('Source Register'!$B$5:$B$400,$A5,'Source Register'!$T$5:$T$400,"To find")</f>
        <v>42</v>
      </c>
      <c r="D5" s="18">
        <f>COUNTIFS('Source Register'!$B$5:$B$400,$A5,'Source Register'!$T$5:$T$400,"Downloaded")</f>
        <v>6</v>
      </c>
      <c r="E5" s="18">
        <f>COUNTIFS('Source Register'!$B$5:$B$400,$A5,'Source Register'!$T$5:$T$400,"Found - link only")+COUNTIFS('Source Register'!$B$5:$B$400,$A5,'Source Register'!$T$5:$T$400,"Licensed - link only")</f>
        <v>0</v>
      </c>
      <c r="F5" s="18">
        <f>COUNTIFS('Source Register'!$B$5:$B$400,$A5,'Source Register'!$T$5:$T$400,"Blocked - portal/login")+COUNTIFS('Source Register'!$B$5:$B$400,$A5,'Source Register'!$T$5:$T$400,"Not available")</f>
        <v>0</v>
      </c>
      <c r="G5" s="18">
        <f>COUNTIFS('Source Register'!$B$5:$B$400,$A5,'Source Register'!$AF$5:$AF$400,"OK")</f>
        <v>0</v>
      </c>
      <c r="H5" s="18">
        <f>COUNTIFS('Source Register'!$B$5:$B$400,$A5,'Source Register'!$AG$5:$AG$400,"Verified")</f>
        <v>0</v>
      </c>
      <c r="I5" s="19">
        <f>IF(B5=0,0,(B5-C5)/B5)</f>
        <v>0.125</v>
      </c>
      <c r="J5" s="19">
        <f>IF(B5=0,0,H5/B5)</f>
        <v>0</v>
      </c>
    </row>
    <row r="6" spans="1:10" x14ac:dyDescent="0.3">
      <c r="A6" s="18" t="str">
        <f>Lists!A4</f>
        <v>Intern B</v>
      </c>
      <c r="B6" s="18">
        <f>COUNTIFS('Source Register'!$B$5:$B$400,$A6,'Source Register'!$H$5:$H$400,"&lt;&gt;")</f>
        <v>41</v>
      </c>
      <c r="C6" s="18">
        <f>COUNTIFS('Source Register'!$B$5:$B$400,$A6,'Source Register'!$T$5:$T$400,"To find")</f>
        <v>32</v>
      </c>
      <c r="D6" s="18">
        <f>COUNTIFS('Source Register'!$B$5:$B$400,$A6,'Source Register'!$T$5:$T$400,"Downloaded")</f>
        <v>7</v>
      </c>
      <c r="E6" s="18">
        <f>COUNTIFS('Source Register'!$B$5:$B$400,$A6,'Source Register'!$T$5:$T$400,"Found - link only")+COUNTIFS('Source Register'!$B$5:$B$400,$A6,'Source Register'!$T$5:$T$400,"Licensed - link only")</f>
        <v>2</v>
      </c>
      <c r="F6" s="18">
        <f>COUNTIFS('Source Register'!$B$5:$B$400,$A6,'Source Register'!$T$5:$T$400,"Blocked - portal/login")+COUNTIFS('Source Register'!$B$5:$B$400,$A6,'Source Register'!$T$5:$T$400,"Not available")</f>
        <v>0</v>
      </c>
      <c r="G6" s="18">
        <f>COUNTIFS('Source Register'!$B$5:$B$400,$A6,'Source Register'!$AF$5:$AF$400,"OK")</f>
        <v>1</v>
      </c>
      <c r="H6" s="18">
        <f>COUNTIFS('Source Register'!$B$5:$B$400,$A6,'Source Register'!$AG$5:$AG$400,"Verified")</f>
        <v>1</v>
      </c>
      <c r="I6" s="19">
        <f>IF(B6=0,0,(B6-C6)/B6)</f>
        <v>0.21951219512195122</v>
      </c>
      <c r="J6" s="19">
        <f>IF(B6=0,0,H6/B6)</f>
        <v>2.4390243902439025E-2</v>
      </c>
    </row>
    <row r="7" spans="1:10" x14ac:dyDescent="0.3">
      <c r="A7" s="20" t="s">
        <v>873</v>
      </c>
      <c r="B7" s="20">
        <f t="shared" ref="B7:H7" si="0">SUM(B5:B6)</f>
        <v>89</v>
      </c>
      <c r="C7" s="20">
        <f t="shared" si="0"/>
        <v>74</v>
      </c>
      <c r="D7" s="20">
        <f t="shared" si="0"/>
        <v>13</v>
      </c>
      <c r="E7" s="20">
        <f t="shared" si="0"/>
        <v>2</v>
      </c>
      <c r="F7" s="20">
        <f t="shared" si="0"/>
        <v>0</v>
      </c>
      <c r="G7" s="20">
        <f t="shared" si="0"/>
        <v>1</v>
      </c>
      <c r="H7" s="20">
        <f t="shared" si="0"/>
        <v>1</v>
      </c>
      <c r="I7" s="21">
        <f>IF(B7=0,0,(B7-C7)/B7)</f>
        <v>0.16853932584269662</v>
      </c>
      <c r="J7" s="21">
        <f>IF(B7=0,0,H7/B7)</f>
        <v>1.1235955056179775E-2</v>
      </c>
    </row>
    <row r="10" spans="1:10" x14ac:dyDescent="0.3">
      <c r="A10" s="17" t="s">
        <v>874</v>
      </c>
    </row>
    <row r="11" spans="1:10" ht="26.4" x14ac:dyDescent="0.3">
      <c r="A11" s="8" t="s">
        <v>64</v>
      </c>
      <c r="B11" s="8" t="s">
        <v>875</v>
      </c>
      <c r="C11" s="8" t="s">
        <v>866</v>
      </c>
      <c r="D11" s="8" t="s">
        <v>142</v>
      </c>
      <c r="E11" s="8" t="s">
        <v>867</v>
      </c>
      <c r="F11" s="8" t="s">
        <v>868</v>
      </c>
      <c r="G11" s="8" t="s">
        <v>869</v>
      </c>
      <c r="H11" s="8" t="s">
        <v>870</v>
      </c>
      <c r="I11" s="8" t="s">
        <v>871</v>
      </c>
    </row>
    <row r="12" spans="1:10" x14ac:dyDescent="0.3">
      <c r="A12" s="18" t="str">
        <f>Lists!B3</f>
        <v>1. Accreditation &amp; Quality</v>
      </c>
      <c r="B12" s="18">
        <f>COUNTIFS('Source Register'!$C$5:$C$400,$A12,'Source Register'!$H$5:$H$400,"&lt;&gt;")</f>
        <v>18</v>
      </c>
      <c r="C12" s="18">
        <f>COUNTIFS('Source Register'!$C$5:$C$400,$A12,'Source Register'!$T$5:$T$400,"To find")</f>
        <v>14</v>
      </c>
      <c r="D12" s="18">
        <f>COUNTIFS('Source Register'!$C$5:$C$400,$A12,'Source Register'!$T$5:$T$400,"Downloaded")</f>
        <v>4</v>
      </c>
      <c r="E12" s="18">
        <f>COUNTIFS('Source Register'!$C$5:$C$400,$A12,'Source Register'!$T$5:$T$400,"Found - link only")+COUNTIFS('Source Register'!$C$5:$C$400,$A12,'Source Register'!$T$5:$T$400,"Licensed - link only")</f>
        <v>0</v>
      </c>
      <c r="F12" s="18">
        <f>COUNTIFS('Source Register'!$C$5:$C$400,$A12,'Source Register'!$T$5:$T$400,"Blocked - portal/login")+COUNTIFS('Source Register'!$C$5:$C$400,$A12,'Source Register'!$T$5:$T$400,"Not available")</f>
        <v>0</v>
      </c>
      <c r="G12" s="18">
        <f>COUNTIFS('Source Register'!$C$5:$C$400,$A12,'Source Register'!$AF$5:$AF$400,"OK")</f>
        <v>0</v>
      </c>
      <c r="H12" s="18">
        <f>COUNTIFS('Source Register'!$C$5:$C$400,$A12,'Source Register'!$AG$5:$AG$400,"Verified")</f>
        <v>0</v>
      </c>
      <c r="I12" s="19">
        <f t="shared" ref="I12:I20" si="1">IF(B12=0,0,(B12-C12)/B12)</f>
        <v>0.22222222222222221</v>
      </c>
    </row>
    <row r="13" spans="1:10" x14ac:dyDescent="0.3">
      <c r="A13" s="18" t="str">
        <f>Lists!B4</f>
        <v>2. Higher-Education Regulation</v>
      </c>
      <c r="B13" s="18">
        <f>COUNTIFS('Source Register'!$C$5:$C$400,$A13,'Source Register'!$H$5:$H$400,"&lt;&gt;")</f>
        <v>17</v>
      </c>
      <c r="C13" s="18">
        <f>COUNTIFS('Source Register'!$C$5:$C$400,$A13,'Source Register'!$T$5:$T$400,"To find")</f>
        <v>15</v>
      </c>
      <c r="D13" s="18">
        <f>COUNTIFS('Source Register'!$C$5:$C$400,$A13,'Source Register'!$T$5:$T$400,"Downloaded")</f>
        <v>2</v>
      </c>
      <c r="E13" s="18">
        <f>COUNTIFS('Source Register'!$C$5:$C$400,$A13,'Source Register'!$T$5:$T$400,"Found - link only")+COUNTIFS('Source Register'!$C$5:$C$400,$A13,'Source Register'!$T$5:$T$400,"Licensed - link only")</f>
        <v>0</v>
      </c>
      <c r="F13" s="18">
        <f>COUNTIFS('Source Register'!$C$5:$C$400,$A13,'Source Register'!$T$5:$T$400,"Blocked - portal/login")+COUNTIFS('Source Register'!$C$5:$C$400,$A13,'Source Register'!$T$5:$T$400,"Not available")</f>
        <v>0</v>
      </c>
      <c r="G13" s="18">
        <f>COUNTIFS('Source Register'!$C$5:$C$400,$A13,'Source Register'!$AF$5:$AF$400,"OK")</f>
        <v>0</v>
      </c>
      <c r="H13" s="18">
        <f>COUNTIFS('Source Register'!$C$5:$C$400,$A13,'Source Register'!$AG$5:$AG$400,"Verified")</f>
        <v>0</v>
      </c>
      <c r="I13" s="19">
        <f t="shared" si="1"/>
        <v>0.11764705882352941</v>
      </c>
    </row>
    <row r="14" spans="1:10" x14ac:dyDescent="0.3">
      <c r="A14" s="18" t="str">
        <f>Lists!B5</f>
        <v>3. Technical, Polytechnic &amp; ITI</v>
      </c>
      <c r="B14" s="18">
        <f>COUNTIFS('Source Register'!$C$5:$C$400,$A14,'Source Register'!$H$5:$H$400,"&lt;&gt;")</f>
        <v>14</v>
      </c>
      <c r="C14" s="18">
        <f>COUNTIFS('Source Register'!$C$5:$C$400,$A14,'Source Register'!$T$5:$T$400,"To find")</f>
        <v>12</v>
      </c>
      <c r="D14" s="18">
        <f>COUNTIFS('Source Register'!$C$5:$C$400,$A14,'Source Register'!$T$5:$T$400,"Downloaded")</f>
        <v>2</v>
      </c>
      <c r="E14" s="18">
        <f>COUNTIFS('Source Register'!$C$5:$C$400,$A14,'Source Register'!$T$5:$T$400,"Found - link only")+COUNTIFS('Source Register'!$C$5:$C$400,$A14,'Source Register'!$T$5:$T$400,"Licensed - link only")</f>
        <v>0</v>
      </c>
      <c r="F14" s="18">
        <f>COUNTIFS('Source Register'!$C$5:$C$400,$A14,'Source Register'!$T$5:$T$400,"Blocked - portal/login")+COUNTIFS('Source Register'!$C$5:$C$400,$A14,'Source Register'!$T$5:$T$400,"Not available")</f>
        <v>0</v>
      </c>
      <c r="G14" s="18">
        <f>COUNTIFS('Source Register'!$C$5:$C$400,$A14,'Source Register'!$AF$5:$AF$400,"OK")</f>
        <v>0</v>
      </c>
      <c r="H14" s="18">
        <f>COUNTIFS('Source Register'!$C$5:$C$400,$A14,'Source Register'!$AG$5:$AG$400,"Verified")</f>
        <v>0</v>
      </c>
      <c r="I14" s="19">
        <f t="shared" si="1"/>
        <v>0.14285714285714285</v>
      </c>
    </row>
    <row r="15" spans="1:10" x14ac:dyDescent="0.3">
      <c r="A15" s="18" t="str">
        <f>Lists!B6</f>
        <v>4. Student Protection &amp; Inclusion</v>
      </c>
      <c r="B15" s="18">
        <f>COUNTIFS('Source Register'!$C$5:$C$400,$A15,'Source Register'!$H$5:$H$400,"&lt;&gt;")</f>
        <v>8</v>
      </c>
      <c r="C15" s="18">
        <f>COUNTIFS('Source Register'!$C$5:$C$400,$A15,'Source Register'!$T$5:$T$400,"To find")</f>
        <v>8</v>
      </c>
      <c r="D15" s="18">
        <f>COUNTIFS('Source Register'!$C$5:$C$400,$A15,'Source Register'!$T$5:$T$400,"Downloaded")</f>
        <v>0</v>
      </c>
      <c r="E15" s="18">
        <f>COUNTIFS('Source Register'!$C$5:$C$400,$A15,'Source Register'!$T$5:$T$400,"Found - link only")+COUNTIFS('Source Register'!$C$5:$C$400,$A15,'Source Register'!$T$5:$T$400,"Licensed - link only")</f>
        <v>0</v>
      </c>
      <c r="F15" s="18">
        <f>COUNTIFS('Source Register'!$C$5:$C$400,$A15,'Source Register'!$T$5:$T$400,"Blocked - portal/login")+COUNTIFS('Source Register'!$C$5:$C$400,$A15,'Source Register'!$T$5:$T$400,"Not available")</f>
        <v>0</v>
      </c>
      <c r="G15" s="18">
        <f>COUNTIFS('Source Register'!$C$5:$C$400,$A15,'Source Register'!$AF$5:$AF$400,"OK")</f>
        <v>0</v>
      </c>
      <c r="H15" s="18">
        <f>COUNTIFS('Source Register'!$C$5:$C$400,$A15,'Source Register'!$AG$5:$AG$400,"Verified")</f>
        <v>0</v>
      </c>
      <c r="I15" s="19">
        <f t="shared" si="1"/>
        <v>0</v>
      </c>
    </row>
    <row r="16" spans="1:10" x14ac:dyDescent="0.3">
      <c r="A16" s="18" t="str">
        <f>Lists!B7</f>
        <v>5. Data, Technology &amp; Cybersecurity</v>
      </c>
      <c r="B16" s="18">
        <f>COUNTIFS('Source Register'!$C$5:$C$400,$A16,'Source Register'!$H$5:$H$400,"&lt;&gt;")</f>
        <v>6</v>
      </c>
      <c r="C16" s="18">
        <f>COUNTIFS('Source Register'!$C$5:$C$400,$A16,'Source Register'!$T$5:$T$400,"To find")</f>
        <v>3</v>
      </c>
      <c r="D16" s="18">
        <f>COUNTIFS('Source Register'!$C$5:$C$400,$A16,'Source Register'!$T$5:$T$400,"Downloaded")</f>
        <v>3</v>
      </c>
      <c r="E16" s="18">
        <f>COUNTIFS('Source Register'!$C$5:$C$400,$A16,'Source Register'!$T$5:$T$400,"Found - link only")+COUNTIFS('Source Register'!$C$5:$C$400,$A16,'Source Register'!$T$5:$T$400,"Licensed - link only")</f>
        <v>0</v>
      </c>
      <c r="F16" s="18">
        <f>COUNTIFS('Source Register'!$C$5:$C$400,$A16,'Source Register'!$T$5:$T$400,"Blocked - portal/login")+COUNTIFS('Source Register'!$C$5:$C$400,$A16,'Source Register'!$T$5:$T$400,"Not available")</f>
        <v>0</v>
      </c>
      <c r="G16" s="18">
        <f>COUNTIFS('Source Register'!$C$5:$C$400,$A16,'Source Register'!$AF$5:$AF$400,"OK")</f>
        <v>1</v>
      </c>
      <c r="H16" s="18">
        <f>COUNTIFS('Source Register'!$C$5:$C$400,$A16,'Source Register'!$AG$5:$AG$400,"Verified")</f>
        <v>1</v>
      </c>
      <c r="I16" s="19">
        <f t="shared" si="1"/>
        <v>0.5</v>
      </c>
    </row>
    <row r="17" spans="1:9" x14ac:dyDescent="0.3">
      <c r="A17" s="18" t="str">
        <f>Lists!B8</f>
        <v>6. AI Readiness &amp; Responsible AI</v>
      </c>
      <c r="B17" s="18">
        <f>COUNTIFS('Source Register'!$C$5:$C$400,$A17,'Source Register'!$H$5:$H$400,"&lt;&gt;")</f>
        <v>13</v>
      </c>
      <c r="C17" s="18">
        <f>COUNTIFS('Source Register'!$C$5:$C$400,$A17,'Source Register'!$T$5:$T$400,"To find")</f>
        <v>9</v>
      </c>
      <c r="D17" s="18">
        <f>COUNTIFS('Source Register'!$C$5:$C$400,$A17,'Source Register'!$T$5:$T$400,"Downloaded")</f>
        <v>2</v>
      </c>
      <c r="E17" s="18">
        <f>COUNTIFS('Source Register'!$C$5:$C$400,$A17,'Source Register'!$T$5:$T$400,"Found - link only")+COUNTIFS('Source Register'!$C$5:$C$400,$A17,'Source Register'!$T$5:$T$400,"Licensed - link only")</f>
        <v>2</v>
      </c>
      <c r="F17" s="18">
        <f>COUNTIFS('Source Register'!$C$5:$C$400,$A17,'Source Register'!$T$5:$T$400,"Blocked - portal/login")+COUNTIFS('Source Register'!$C$5:$C$400,$A17,'Source Register'!$T$5:$T$400,"Not available")</f>
        <v>0</v>
      </c>
      <c r="G17" s="18">
        <f>COUNTIFS('Source Register'!$C$5:$C$400,$A17,'Source Register'!$AF$5:$AF$400,"OK")</f>
        <v>0</v>
      </c>
      <c r="H17" s="18">
        <f>COUNTIFS('Source Register'!$C$5:$C$400,$A17,'Source Register'!$AG$5:$AG$400,"Verified")</f>
        <v>0</v>
      </c>
      <c r="I17" s="19">
        <f t="shared" si="1"/>
        <v>0.30769230769230771</v>
      </c>
    </row>
    <row r="18" spans="1:9" x14ac:dyDescent="0.3">
      <c r="A18" s="18" t="str">
        <f>Lists!B9</f>
        <v>7. Research, Innovation &amp; Impact</v>
      </c>
      <c r="B18" s="18">
        <f>COUNTIFS('Source Register'!$C$5:$C$400,$A18,'Source Register'!$H$5:$H$400,"&lt;&gt;")</f>
        <v>5</v>
      </c>
      <c r="C18" s="18">
        <f>COUNTIFS('Source Register'!$C$5:$C$400,$A18,'Source Register'!$T$5:$T$400,"To find")</f>
        <v>5</v>
      </c>
      <c r="D18" s="18">
        <f>COUNTIFS('Source Register'!$C$5:$C$400,$A18,'Source Register'!$T$5:$T$400,"Downloaded")</f>
        <v>0</v>
      </c>
      <c r="E18" s="18">
        <f>COUNTIFS('Source Register'!$C$5:$C$400,$A18,'Source Register'!$T$5:$T$400,"Found - link only")+COUNTIFS('Source Register'!$C$5:$C$400,$A18,'Source Register'!$T$5:$T$400,"Licensed - link only")</f>
        <v>0</v>
      </c>
      <c r="F18" s="18">
        <f>COUNTIFS('Source Register'!$C$5:$C$400,$A18,'Source Register'!$T$5:$T$400,"Blocked - portal/login")+COUNTIFS('Source Register'!$C$5:$C$400,$A18,'Source Register'!$T$5:$T$400,"Not available")</f>
        <v>0</v>
      </c>
      <c r="G18" s="18">
        <f>COUNTIFS('Source Register'!$C$5:$C$400,$A18,'Source Register'!$AF$5:$AF$400,"OK")</f>
        <v>0</v>
      </c>
      <c r="H18" s="18">
        <f>COUNTIFS('Source Register'!$C$5:$C$400,$A18,'Source Register'!$AG$5:$AG$400,"Verified")</f>
        <v>0</v>
      </c>
      <c r="I18" s="19">
        <f t="shared" si="1"/>
        <v>0</v>
      </c>
    </row>
    <row r="19" spans="1:9" x14ac:dyDescent="0.3">
      <c r="A19" s="18" t="str">
        <f>Lists!B10</f>
        <v>8. Sustainability &amp; Future Technology</v>
      </c>
      <c r="B19" s="18">
        <f>COUNTIFS('Source Register'!$C$5:$C$400,$A19,'Source Register'!$H$5:$H$400,"&lt;&gt;")</f>
        <v>8</v>
      </c>
      <c r="C19" s="18">
        <f>COUNTIFS('Source Register'!$C$5:$C$400,$A19,'Source Register'!$T$5:$T$400,"To find")</f>
        <v>8</v>
      </c>
      <c r="D19" s="18">
        <f>COUNTIFS('Source Register'!$C$5:$C$400,$A19,'Source Register'!$T$5:$T$400,"Downloaded")</f>
        <v>0</v>
      </c>
      <c r="E19" s="18">
        <f>COUNTIFS('Source Register'!$C$5:$C$400,$A19,'Source Register'!$T$5:$T$400,"Found - link only")+COUNTIFS('Source Register'!$C$5:$C$400,$A19,'Source Register'!$T$5:$T$400,"Licensed - link only")</f>
        <v>0</v>
      </c>
      <c r="F19" s="18">
        <f>COUNTIFS('Source Register'!$C$5:$C$400,$A19,'Source Register'!$T$5:$T$400,"Blocked - portal/login")+COUNTIFS('Source Register'!$C$5:$C$400,$A19,'Source Register'!$T$5:$T$400,"Not available")</f>
        <v>0</v>
      </c>
      <c r="G19" s="18">
        <f>COUNTIFS('Source Register'!$C$5:$C$400,$A19,'Source Register'!$AF$5:$AF$400,"OK")</f>
        <v>0</v>
      </c>
      <c r="H19" s="18">
        <f>COUNTIFS('Source Register'!$C$5:$C$400,$A19,'Source Register'!$AG$5:$AG$400,"Verified")</f>
        <v>0</v>
      </c>
      <c r="I19" s="19">
        <f t="shared" si="1"/>
        <v>0</v>
      </c>
    </row>
    <row r="20" spans="1:9" x14ac:dyDescent="0.3">
      <c r="A20" s="20" t="s">
        <v>873</v>
      </c>
      <c r="B20" s="20">
        <f t="shared" ref="B20:H20" si="2">SUM(B12:B19)</f>
        <v>89</v>
      </c>
      <c r="C20" s="20">
        <f t="shared" si="2"/>
        <v>74</v>
      </c>
      <c r="D20" s="20">
        <f t="shared" si="2"/>
        <v>13</v>
      </c>
      <c r="E20" s="20">
        <f t="shared" si="2"/>
        <v>2</v>
      </c>
      <c r="F20" s="20">
        <f t="shared" si="2"/>
        <v>0</v>
      </c>
      <c r="G20" s="20">
        <f t="shared" si="2"/>
        <v>1</v>
      </c>
      <c r="H20" s="20">
        <f t="shared" si="2"/>
        <v>1</v>
      </c>
      <c r="I20" s="22">
        <f t="shared" si="1"/>
        <v>0.16853932584269662</v>
      </c>
    </row>
    <row r="22" spans="1:9" x14ac:dyDescent="0.3">
      <c r="A22" s="7" t="s">
        <v>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pane ySplit="3" topLeftCell="A4" activePane="bottomLeft" state="frozen"/>
      <selection pane="bottomLeft" activeCell="C20" sqref="C20"/>
    </sheetView>
  </sheetViews>
  <sheetFormatPr defaultRowHeight="14.4" x14ac:dyDescent="0.3"/>
  <cols>
    <col min="1" max="1" width="8" customWidth="1"/>
    <col min="2" max="2" width="18" customWidth="1"/>
    <col min="3" max="3" width="40" customWidth="1"/>
    <col min="4" max="4" width="52" customWidth="1"/>
    <col min="5" max="5" width="15" customWidth="1"/>
    <col min="6" max="7" width="11" customWidth="1"/>
    <col min="8" max="9" width="13" customWidth="1"/>
    <col min="10" max="10" width="14" customWidth="1"/>
    <col min="11" max="11" width="40" customWidth="1"/>
  </cols>
  <sheetData>
    <row r="1" spans="1:11" ht="17.399999999999999" x14ac:dyDescent="0.3">
      <c r="A1" s="6" t="s">
        <v>877</v>
      </c>
    </row>
    <row r="3" spans="1:11" ht="39.6" x14ac:dyDescent="0.3">
      <c r="A3" s="9" t="s">
        <v>878</v>
      </c>
      <c r="B3" s="9" t="s">
        <v>65</v>
      </c>
      <c r="C3" s="9" t="s">
        <v>879</v>
      </c>
      <c r="D3" s="9" t="s">
        <v>880</v>
      </c>
      <c r="E3" s="9" t="s">
        <v>881</v>
      </c>
      <c r="F3" s="9" t="s">
        <v>882</v>
      </c>
      <c r="G3" s="9" t="s">
        <v>63</v>
      </c>
      <c r="H3" s="9" t="s">
        <v>883</v>
      </c>
      <c r="I3" s="9" t="s">
        <v>884</v>
      </c>
      <c r="J3" s="8" t="s">
        <v>885</v>
      </c>
      <c r="K3" s="9" t="s">
        <v>91</v>
      </c>
    </row>
    <row r="4" spans="1:11" x14ac:dyDescent="0.3">
      <c r="A4" s="11" t="s">
        <v>886</v>
      </c>
      <c r="B4" s="11" t="s">
        <v>202</v>
      </c>
      <c r="C4" s="11" t="s">
        <v>887</v>
      </c>
      <c r="D4" s="13" t="s">
        <v>208</v>
      </c>
      <c r="E4" s="11" t="s">
        <v>117</v>
      </c>
      <c r="F4" s="11">
        <v>1</v>
      </c>
      <c r="G4" s="11" t="s">
        <v>97</v>
      </c>
      <c r="H4" s="23"/>
      <c r="I4" s="24"/>
      <c r="J4">
        <f>COUNTIF('Source Register'!$D$5:$D$400,B4)</f>
        <v>22</v>
      </c>
      <c r="K4" s="24"/>
    </row>
    <row r="5" spans="1:11" x14ac:dyDescent="0.3">
      <c r="A5" s="11" t="s">
        <v>888</v>
      </c>
      <c r="B5" s="11" t="s">
        <v>202</v>
      </c>
      <c r="C5" s="11" t="s">
        <v>889</v>
      </c>
      <c r="D5" s="13" t="s">
        <v>216</v>
      </c>
      <c r="E5" s="11" t="s">
        <v>117</v>
      </c>
      <c r="F5" s="11">
        <v>1</v>
      </c>
      <c r="G5" s="11" t="s">
        <v>97</v>
      </c>
      <c r="H5" s="23"/>
      <c r="I5" s="24"/>
      <c r="J5">
        <f>COUNTIF('Source Register'!$D$5:$D$400,B5)</f>
        <v>22</v>
      </c>
      <c r="K5" s="24"/>
    </row>
    <row r="6" spans="1:11" ht="26.4" x14ac:dyDescent="0.3">
      <c r="A6" s="11" t="s">
        <v>890</v>
      </c>
      <c r="B6" s="11" t="s">
        <v>99</v>
      </c>
      <c r="C6" s="11" t="s">
        <v>891</v>
      </c>
      <c r="D6" s="13" t="s">
        <v>110</v>
      </c>
      <c r="E6" s="11" t="s">
        <v>117</v>
      </c>
      <c r="F6" s="11">
        <v>1</v>
      </c>
      <c r="G6" s="11" t="s">
        <v>97</v>
      </c>
      <c r="H6" s="23"/>
      <c r="I6" s="24"/>
      <c r="J6">
        <f>COUNTIF('Source Register'!$D$5:$D$400,B6)</f>
        <v>6</v>
      </c>
      <c r="K6" s="24"/>
    </row>
    <row r="7" spans="1:11" x14ac:dyDescent="0.3">
      <c r="A7" s="11" t="s">
        <v>892</v>
      </c>
      <c r="B7" s="11" t="s">
        <v>135</v>
      </c>
      <c r="C7" s="11" t="s">
        <v>893</v>
      </c>
      <c r="D7" s="13" t="s">
        <v>140</v>
      </c>
      <c r="E7" s="11" t="s">
        <v>117</v>
      </c>
      <c r="F7" s="11">
        <v>3</v>
      </c>
      <c r="G7" s="11" t="s">
        <v>97</v>
      </c>
      <c r="H7" s="23"/>
      <c r="I7" s="24"/>
      <c r="J7">
        <f>COUNTIF('Source Register'!$D$5:$D$400,B7)</f>
        <v>9</v>
      </c>
      <c r="K7" s="24"/>
    </row>
    <row r="8" spans="1:11" x14ac:dyDescent="0.3">
      <c r="A8" s="11" t="s">
        <v>894</v>
      </c>
      <c r="B8" s="11" t="s">
        <v>183</v>
      </c>
      <c r="C8" s="11" t="s">
        <v>895</v>
      </c>
      <c r="D8" s="13" t="s">
        <v>188</v>
      </c>
      <c r="E8" s="11" t="s">
        <v>117</v>
      </c>
      <c r="F8" s="11">
        <v>12</v>
      </c>
      <c r="G8" s="11" t="s">
        <v>97</v>
      </c>
      <c r="H8" s="23"/>
      <c r="I8" s="24"/>
      <c r="J8">
        <f>COUNTIF('Source Register'!$D$5:$D$400,B8)</f>
        <v>4</v>
      </c>
      <c r="K8" s="24"/>
    </row>
    <row r="9" spans="1:11" ht="26.4" x14ac:dyDescent="0.3">
      <c r="A9" s="11" t="s">
        <v>896</v>
      </c>
      <c r="B9" s="11" t="s">
        <v>278</v>
      </c>
      <c r="C9" s="11" t="s">
        <v>897</v>
      </c>
      <c r="D9" s="13" t="s">
        <v>284</v>
      </c>
      <c r="E9" s="11" t="s">
        <v>109</v>
      </c>
      <c r="F9" s="11">
        <v>12</v>
      </c>
      <c r="G9" s="11" t="s">
        <v>97</v>
      </c>
      <c r="H9" s="23"/>
      <c r="I9" s="24"/>
      <c r="J9">
        <f>COUNTIF('Source Register'!$D$5:$D$400,B9)</f>
        <v>2</v>
      </c>
      <c r="K9" s="24"/>
    </row>
    <row r="10" spans="1:11" x14ac:dyDescent="0.3">
      <c r="A10" s="11" t="s">
        <v>898</v>
      </c>
      <c r="B10" s="11" t="s">
        <v>330</v>
      </c>
      <c r="C10" s="11" t="s">
        <v>899</v>
      </c>
      <c r="D10" s="13" t="s">
        <v>342</v>
      </c>
      <c r="E10" s="11" t="s">
        <v>117</v>
      </c>
      <c r="F10" s="11">
        <v>12</v>
      </c>
      <c r="G10" s="11" t="s">
        <v>328</v>
      </c>
      <c r="H10" s="23"/>
      <c r="I10" s="24"/>
      <c r="J10">
        <f>COUNTIF('Source Register'!$D$5:$D$400,B10)</f>
        <v>5</v>
      </c>
      <c r="K10" s="24"/>
    </row>
    <row r="11" spans="1:11" x14ac:dyDescent="0.3">
      <c r="A11" s="11" t="s">
        <v>900</v>
      </c>
      <c r="B11" s="11" t="s">
        <v>353</v>
      </c>
      <c r="C11" s="11" t="s">
        <v>901</v>
      </c>
      <c r="D11" s="13" t="s">
        <v>365</v>
      </c>
      <c r="E11" s="11" t="s">
        <v>117</v>
      </c>
      <c r="F11" s="11">
        <v>12</v>
      </c>
      <c r="G11" s="11" t="s">
        <v>328</v>
      </c>
      <c r="H11" s="23"/>
      <c r="I11" s="24"/>
      <c r="J11">
        <f>COUNTIF('Source Register'!$D$5:$D$400,B11)</f>
        <v>4</v>
      </c>
      <c r="K11" s="24"/>
    </row>
    <row r="12" spans="1:11" x14ac:dyDescent="0.3">
      <c r="A12" s="11" t="s">
        <v>902</v>
      </c>
      <c r="B12" s="11" t="s">
        <v>377</v>
      </c>
      <c r="C12" s="11" t="s">
        <v>903</v>
      </c>
      <c r="D12" s="13" t="s">
        <v>381</v>
      </c>
      <c r="E12" s="11" t="s">
        <v>109</v>
      </c>
      <c r="F12" s="11">
        <v>3</v>
      </c>
      <c r="G12" s="11" t="s">
        <v>328</v>
      </c>
      <c r="H12" s="23"/>
      <c r="I12" s="24"/>
      <c r="J12">
        <f>COUNTIF('Source Register'!$D$5:$D$400,B12)</f>
        <v>2</v>
      </c>
      <c r="K12" s="24"/>
    </row>
    <row r="13" spans="1:11" ht="26.4" x14ac:dyDescent="0.3">
      <c r="A13" s="11" t="s">
        <v>904</v>
      </c>
      <c r="B13" s="11" t="s">
        <v>390</v>
      </c>
      <c r="C13" s="11" t="s">
        <v>905</v>
      </c>
      <c r="D13" s="13" t="s">
        <v>393</v>
      </c>
      <c r="E13" s="11" t="s">
        <v>109</v>
      </c>
      <c r="F13" s="11">
        <v>3</v>
      </c>
      <c r="G13" s="11" t="s">
        <v>328</v>
      </c>
      <c r="H13" s="23"/>
      <c r="I13" s="24"/>
      <c r="J13">
        <f>COUNTIF('Source Register'!$D$5:$D$400,B13)</f>
        <v>1</v>
      </c>
      <c r="K13" s="24"/>
    </row>
    <row r="14" spans="1:11" ht="52.8" x14ac:dyDescent="0.3">
      <c r="A14" s="11" t="s">
        <v>906</v>
      </c>
      <c r="B14" s="11" t="s">
        <v>400</v>
      </c>
      <c r="C14" s="11" t="s">
        <v>907</v>
      </c>
      <c r="D14" s="13" t="s">
        <v>417</v>
      </c>
      <c r="E14" s="11" t="s">
        <v>109</v>
      </c>
      <c r="F14" s="11">
        <v>1</v>
      </c>
      <c r="G14" s="11" t="s">
        <v>328</v>
      </c>
      <c r="H14" s="23"/>
      <c r="I14" s="24"/>
      <c r="J14">
        <f>COUNTIF('Source Register'!$D$5:$D$400,B14)</f>
        <v>3</v>
      </c>
      <c r="K14" s="24"/>
    </row>
    <row r="15" spans="1:11" x14ac:dyDescent="0.3">
      <c r="A15" s="11" t="s">
        <v>908</v>
      </c>
      <c r="B15" s="11" t="s">
        <v>423</v>
      </c>
      <c r="C15" s="11" t="s">
        <v>909</v>
      </c>
      <c r="D15" s="13" t="s">
        <v>428</v>
      </c>
      <c r="E15" s="11" t="s">
        <v>109</v>
      </c>
      <c r="F15" s="11">
        <v>1</v>
      </c>
      <c r="G15" s="11" t="s">
        <v>328</v>
      </c>
      <c r="H15" s="23"/>
      <c r="I15" s="24"/>
      <c r="J15">
        <f>COUNTIF('Source Register'!$D$5:$D$400,B15)</f>
        <v>2</v>
      </c>
      <c r="K15" s="24"/>
    </row>
    <row r="16" spans="1:11" x14ac:dyDescent="0.3">
      <c r="A16" s="11" t="s">
        <v>910</v>
      </c>
      <c r="B16" s="11" t="s">
        <v>423</v>
      </c>
      <c r="C16" s="11" t="s">
        <v>911</v>
      </c>
      <c r="D16" s="13" t="s">
        <v>437</v>
      </c>
      <c r="E16" s="11" t="s">
        <v>109</v>
      </c>
      <c r="F16" s="11">
        <v>1</v>
      </c>
      <c r="G16" s="11" t="s">
        <v>328</v>
      </c>
      <c r="H16" s="23"/>
      <c r="I16" s="24"/>
      <c r="J16">
        <f>COUNTIF('Source Register'!$D$5:$D$400,B16)</f>
        <v>2</v>
      </c>
      <c r="K16" s="24"/>
    </row>
    <row r="17" spans="1:11" ht="26.4" x14ac:dyDescent="0.3">
      <c r="A17" s="11" t="s">
        <v>912</v>
      </c>
      <c r="B17" s="11" t="s">
        <v>512</v>
      </c>
      <c r="C17" s="11" t="s">
        <v>913</v>
      </c>
      <c r="D17" s="13" t="s">
        <v>517</v>
      </c>
      <c r="E17" s="11" t="s">
        <v>109</v>
      </c>
      <c r="F17" s="11">
        <v>3</v>
      </c>
      <c r="G17" s="11" t="s">
        <v>328</v>
      </c>
      <c r="H17" s="23"/>
      <c r="I17" s="24"/>
      <c r="J17">
        <f>COUNTIF('Source Register'!$D$5:$D$400,B17)</f>
        <v>1</v>
      </c>
      <c r="K17" s="24"/>
    </row>
    <row r="18" spans="1:11" ht="26.4" x14ac:dyDescent="0.3">
      <c r="A18" s="11" t="s">
        <v>914</v>
      </c>
      <c r="B18" s="11" t="s">
        <v>465</v>
      </c>
      <c r="C18" s="11" t="s">
        <v>915</v>
      </c>
      <c r="D18" s="13" t="s">
        <v>469</v>
      </c>
      <c r="E18" s="11" t="s">
        <v>109</v>
      </c>
      <c r="F18" s="11">
        <v>3</v>
      </c>
      <c r="G18" s="11" t="s">
        <v>328</v>
      </c>
      <c r="H18" s="23"/>
      <c r="I18" s="24"/>
      <c r="J18">
        <f>COUNTIF('Source Register'!$D$5:$D$400,B18)</f>
        <v>3</v>
      </c>
      <c r="K18" s="24"/>
    </row>
    <row r="19" spans="1:11" ht="26.4" x14ac:dyDescent="0.3">
      <c r="A19" s="11" t="s">
        <v>916</v>
      </c>
      <c r="B19" s="11" t="s">
        <v>448</v>
      </c>
      <c r="C19" s="11" t="s">
        <v>917</v>
      </c>
      <c r="D19" s="13" t="s">
        <v>454</v>
      </c>
      <c r="E19" s="11" t="s">
        <v>109</v>
      </c>
      <c r="F19" s="11">
        <v>3</v>
      </c>
      <c r="G19" s="11" t="s">
        <v>328</v>
      </c>
      <c r="H19" s="23"/>
      <c r="I19" s="24"/>
      <c r="J19">
        <f>COUNTIF('Source Register'!$D$5:$D$400,B19)</f>
        <v>3</v>
      </c>
      <c r="K19" s="24"/>
    </row>
    <row r="20" spans="1:11" ht="26.4" x14ac:dyDescent="0.3">
      <c r="A20" s="11" t="s">
        <v>918</v>
      </c>
      <c r="B20" s="11" t="s">
        <v>485</v>
      </c>
      <c r="C20" s="11" t="s">
        <v>919</v>
      </c>
      <c r="D20" s="13" t="s">
        <v>489</v>
      </c>
      <c r="E20" s="11" t="s">
        <v>491</v>
      </c>
      <c r="F20" s="11">
        <v>12</v>
      </c>
      <c r="G20" s="11" t="s">
        <v>328</v>
      </c>
      <c r="H20" s="23"/>
      <c r="I20" s="24"/>
      <c r="J20">
        <f>COUNTIF('Source Register'!$D$5:$D$400,B20)</f>
        <v>6</v>
      </c>
      <c r="K20" s="24"/>
    </row>
    <row r="21" spans="1:11" x14ac:dyDescent="0.3">
      <c r="A21" s="11" t="s">
        <v>920</v>
      </c>
      <c r="B21" s="11" t="s">
        <v>527</v>
      </c>
      <c r="C21" s="11" t="s">
        <v>921</v>
      </c>
      <c r="D21" s="13" t="s">
        <v>530</v>
      </c>
      <c r="E21" s="11" t="s">
        <v>109</v>
      </c>
      <c r="F21" s="11">
        <v>12</v>
      </c>
      <c r="G21" s="11" t="s">
        <v>328</v>
      </c>
      <c r="H21" s="23"/>
      <c r="I21" s="24"/>
      <c r="J21">
        <f>COUNTIF('Source Register'!$D$5:$D$400,B21)</f>
        <v>1</v>
      </c>
      <c r="K21" s="24"/>
    </row>
  </sheetData>
  <hyperlinks>
    <hyperlink ref="D4" r:id="rId1"/>
    <hyperlink ref="D5" r:id="rId2"/>
    <hyperlink ref="D6" r:id="rId3"/>
    <hyperlink ref="D7" r:id="rId4"/>
    <hyperlink ref="D8" r:id="rId5"/>
    <hyperlink ref="D9" r:id="rId6"/>
    <hyperlink ref="D10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8" r:id="rId15"/>
    <hyperlink ref="D19" r:id="rId16"/>
    <hyperlink ref="D20" r:id="rId17"/>
    <hyperlink ref="D21" r:id="rId18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Lists!$A$3:$A$4</xm:f>
          </x14:formula1>
          <xm:sqref>G4:G60</xm:sqref>
        </x14:dataValidation>
        <x14:dataValidation type="list" allowBlank="1">
          <x14:formula1>
            <xm:f>Lists!$H$3:$H$4</xm:f>
          </x14:formula1>
          <xm:sqref>I4:I60</xm:sqref>
        </x14:dataValidation>
        <x14:dataValidation type="list" allowBlank="1">
          <x14:formula1>
            <xm:f>Lists!$I$3:$I$7</xm:f>
          </x14:formula1>
          <xm:sqref>E4:E60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9" customWidth="1"/>
    <col min="3" max="3" width="34" customWidth="1"/>
    <col min="4" max="4" width="46" customWidth="1"/>
    <col min="5" max="5" width="40" customWidth="1"/>
    <col min="6" max="6" width="34" customWidth="1"/>
  </cols>
  <sheetData>
    <row r="1" spans="1:6" ht="17.399999999999999" x14ac:dyDescent="0.3">
      <c r="A1" s="6" t="s">
        <v>922</v>
      </c>
    </row>
    <row r="3" spans="1:6" ht="26.4" x14ac:dyDescent="0.3">
      <c r="A3" s="8" t="s">
        <v>923</v>
      </c>
      <c r="B3" s="8" t="s">
        <v>924</v>
      </c>
      <c r="C3" s="8" t="s">
        <v>925</v>
      </c>
      <c r="D3" s="8" t="s">
        <v>926</v>
      </c>
      <c r="E3" s="8" t="s">
        <v>927</v>
      </c>
      <c r="F3" s="8" t="s">
        <v>928</v>
      </c>
    </row>
    <row r="4" spans="1:6" ht="26.4" x14ac:dyDescent="0.3">
      <c r="A4" s="11" t="s">
        <v>929</v>
      </c>
      <c r="B4" s="11" t="s">
        <v>930</v>
      </c>
      <c r="C4" s="11" t="s">
        <v>931</v>
      </c>
      <c r="D4" s="11" t="s">
        <v>932</v>
      </c>
      <c r="E4" s="11" t="s">
        <v>933</v>
      </c>
      <c r="F4" s="11" t="s">
        <v>934</v>
      </c>
    </row>
    <row r="5" spans="1:6" ht="26.4" x14ac:dyDescent="0.3">
      <c r="A5" s="11" t="s">
        <v>935</v>
      </c>
      <c r="B5" s="11" t="s">
        <v>930</v>
      </c>
      <c r="C5" s="11" t="s">
        <v>931</v>
      </c>
      <c r="D5" s="11" t="s">
        <v>936</v>
      </c>
      <c r="E5" s="11" t="s">
        <v>937</v>
      </c>
      <c r="F5" s="11" t="s">
        <v>934</v>
      </c>
    </row>
    <row r="6" spans="1:6" ht="26.4" x14ac:dyDescent="0.3">
      <c r="A6" s="11" t="s">
        <v>938</v>
      </c>
      <c r="B6" s="11" t="s">
        <v>930</v>
      </c>
      <c r="C6" s="11" t="s">
        <v>931</v>
      </c>
      <c r="D6" s="11" t="s">
        <v>939</v>
      </c>
      <c r="E6" s="11" t="s">
        <v>940</v>
      </c>
      <c r="F6" s="11" t="s">
        <v>934</v>
      </c>
    </row>
    <row r="7" spans="1:6" ht="26.4" x14ac:dyDescent="0.3">
      <c r="A7" s="11" t="s">
        <v>941</v>
      </c>
      <c r="B7" s="11" t="s">
        <v>930</v>
      </c>
      <c r="C7" s="11" t="s">
        <v>931</v>
      </c>
      <c r="D7" s="11" t="s">
        <v>942</v>
      </c>
      <c r="E7" s="11" t="s">
        <v>943</v>
      </c>
      <c r="F7" s="11" t="s">
        <v>934</v>
      </c>
    </row>
    <row r="8" spans="1:6" ht="26.4" x14ac:dyDescent="0.3">
      <c r="A8" s="11" t="s">
        <v>944</v>
      </c>
      <c r="B8" s="11" t="s">
        <v>930</v>
      </c>
      <c r="C8" s="11" t="s">
        <v>931</v>
      </c>
      <c r="D8" s="11" t="s">
        <v>945</v>
      </c>
      <c r="E8" s="11" t="s">
        <v>946</v>
      </c>
      <c r="F8" s="11" t="s">
        <v>947</v>
      </c>
    </row>
    <row r="9" spans="1:6" ht="26.4" x14ac:dyDescent="0.3">
      <c r="A9" s="11" t="s">
        <v>948</v>
      </c>
      <c r="B9" s="11" t="s">
        <v>930</v>
      </c>
      <c r="C9" s="11" t="s">
        <v>931</v>
      </c>
      <c r="D9" s="11" t="s">
        <v>949</v>
      </c>
      <c r="E9" s="11" t="s">
        <v>950</v>
      </c>
      <c r="F9" s="11" t="s">
        <v>934</v>
      </c>
    </row>
    <row r="10" spans="1:6" ht="26.4" x14ac:dyDescent="0.3">
      <c r="A10" s="11" t="s">
        <v>951</v>
      </c>
      <c r="B10" s="11" t="s">
        <v>930</v>
      </c>
      <c r="C10" s="11" t="s">
        <v>931</v>
      </c>
      <c r="D10" s="11" t="s">
        <v>952</v>
      </c>
      <c r="E10" s="11" t="s">
        <v>953</v>
      </c>
      <c r="F10" s="11" t="s">
        <v>947</v>
      </c>
    </row>
    <row r="11" spans="1:6" ht="26.4" x14ac:dyDescent="0.3">
      <c r="A11" s="11" t="s">
        <v>954</v>
      </c>
      <c r="B11" s="11" t="s">
        <v>930</v>
      </c>
      <c r="C11" s="11" t="s">
        <v>931</v>
      </c>
      <c r="D11" s="11" t="s">
        <v>955</v>
      </c>
      <c r="E11" s="11" t="s">
        <v>956</v>
      </c>
      <c r="F11" s="11" t="s">
        <v>934</v>
      </c>
    </row>
    <row r="12" spans="1:6" ht="26.4" x14ac:dyDescent="0.3">
      <c r="A12" s="11" t="s">
        <v>957</v>
      </c>
      <c r="B12" s="11" t="s">
        <v>958</v>
      </c>
      <c r="C12" s="11" t="s">
        <v>959</v>
      </c>
      <c r="D12" s="11" t="s">
        <v>960</v>
      </c>
      <c r="E12" s="11" t="s">
        <v>961</v>
      </c>
      <c r="F12" s="11" t="s">
        <v>934</v>
      </c>
    </row>
    <row r="13" spans="1:6" ht="26.4" x14ac:dyDescent="0.3">
      <c r="A13" s="11" t="s">
        <v>962</v>
      </c>
      <c r="B13" s="11" t="s">
        <v>958</v>
      </c>
      <c r="C13" s="11" t="s">
        <v>959</v>
      </c>
      <c r="D13" s="11" t="s">
        <v>963</v>
      </c>
      <c r="E13" s="11" t="s">
        <v>964</v>
      </c>
      <c r="F13" s="11" t="s">
        <v>934</v>
      </c>
    </row>
    <row r="14" spans="1:6" ht="26.4" x14ac:dyDescent="0.3">
      <c r="A14" s="11" t="s">
        <v>965</v>
      </c>
      <c r="B14" s="11" t="s">
        <v>958</v>
      </c>
      <c r="C14" s="11" t="s">
        <v>959</v>
      </c>
      <c r="D14" s="11" t="s">
        <v>966</v>
      </c>
      <c r="E14" s="11" t="s">
        <v>967</v>
      </c>
      <c r="F14" s="11" t="s">
        <v>934</v>
      </c>
    </row>
    <row r="15" spans="1:6" ht="26.4" x14ac:dyDescent="0.3">
      <c r="A15" s="11" t="s">
        <v>968</v>
      </c>
      <c r="B15" s="11" t="s">
        <v>958</v>
      </c>
      <c r="C15" s="11" t="s">
        <v>959</v>
      </c>
      <c r="D15" s="11" t="s">
        <v>969</v>
      </c>
      <c r="E15" s="11" t="s">
        <v>970</v>
      </c>
      <c r="F15" s="11" t="s">
        <v>934</v>
      </c>
    </row>
    <row r="16" spans="1:6" ht="26.4" x14ac:dyDescent="0.3">
      <c r="A16" s="11" t="s">
        <v>971</v>
      </c>
      <c r="B16" s="11" t="s">
        <v>958</v>
      </c>
      <c r="C16" s="11" t="s">
        <v>959</v>
      </c>
      <c r="D16" s="11" t="s">
        <v>972</v>
      </c>
      <c r="E16" s="11" t="s">
        <v>973</v>
      </c>
      <c r="F16" s="11" t="s">
        <v>934</v>
      </c>
    </row>
    <row r="17" spans="1:6" ht="26.4" x14ac:dyDescent="0.3">
      <c r="A17" s="11" t="s">
        <v>974</v>
      </c>
      <c r="B17" s="11" t="s">
        <v>958</v>
      </c>
      <c r="C17" s="11" t="s">
        <v>959</v>
      </c>
      <c r="D17" s="11" t="s">
        <v>975</v>
      </c>
      <c r="E17" s="11" t="s">
        <v>976</v>
      </c>
      <c r="F17" s="11" t="s">
        <v>934</v>
      </c>
    </row>
    <row r="18" spans="1:6" ht="26.4" x14ac:dyDescent="0.3">
      <c r="A18" s="11" t="s">
        <v>977</v>
      </c>
      <c r="B18" s="11" t="s">
        <v>958</v>
      </c>
      <c r="C18" s="11" t="s">
        <v>959</v>
      </c>
      <c r="D18" s="11" t="s">
        <v>978</v>
      </c>
      <c r="E18" s="11" t="s">
        <v>979</v>
      </c>
      <c r="F18" s="11" t="s">
        <v>934</v>
      </c>
    </row>
    <row r="19" spans="1:6" ht="26.4" x14ac:dyDescent="0.3">
      <c r="A19" s="11" t="s">
        <v>980</v>
      </c>
      <c r="B19" s="11" t="s">
        <v>981</v>
      </c>
      <c r="C19" s="11" t="s">
        <v>982</v>
      </c>
      <c r="D19" s="11" t="s">
        <v>983</v>
      </c>
      <c r="E19" s="11" t="s">
        <v>984</v>
      </c>
      <c r="F19" s="11" t="s">
        <v>934</v>
      </c>
    </row>
    <row r="20" spans="1:6" ht="26.4" x14ac:dyDescent="0.3">
      <c r="A20" s="11" t="s">
        <v>985</v>
      </c>
      <c r="B20" s="11" t="s">
        <v>981</v>
      </c>
      <c r="C20" s="11" t="s">
        <v>982</v>
      </c>
      <c r="D20" s="11" t="s">
        <v>986</v>
      </c>
      <c r="E20" s="11" t="s">
        <v>987</v>
      </c>
      <c r="F20" s="11" t="s">
        <v>934</v>
      </c>
    </row>
    <row r="21" spans="1:6" ht="26.4" x14ac:dyDescent="0.3">
      <c r="A21" s="11" t="s">
        <v>988</v>
      </c>
      <c r="B21" s="11" t="s">
        <v>981</v>
      </c>
      <c r="C21" s="11" t="s">
        <v>982</v>
      </c>
      <c r="D21" s="11" t="s">
        <v>989</v>
      </c>
      <c r="E21" s="11" t="s">
        <v>990</v>
      </c>
      <c r="F21" s="11" t="s">
        <v>947</v>
      </c>
    </row>
    <row r="22" spans="1:6" x14ac:dyDescent="0.3">
      <c r="A22" s="11" t="s">
        <v>991</v>
      </c>
      <c r="B22" s="11" t="s">
        <v>981</v>
      </c>
      <c r="C22" s="11" t="s">
        <v>982</v>
      </c>
      <c r="D22" s="11" t="s">
        <v>992</v>
      </c>
      <c r="E22" s="11" t="s">
        <v>993</v>
      </c>
      <c r="F22" s="11" t="s">
        <v>947</v>
      </c>
    </row>
    <row r="23" spans="1:6" ht="26.4" x14ac:dyDescent="0.3">
      <c r="A23" s="11" t="s">
        <v>994</v>
      </c>
      <c r="B23" s="11" t="s">
        <v>995</v>
      </c>
      <c r="C23" s="11" t="s">
        <v>996</v>
      </c>
      <c r="D23" s="11" t="s">
        <v>997</v>
      </c>
      <c r="E23" s="11" t="s">
        <v>998</v>
      </c>
      <c r="F23" s="11" t="s">
        <v>934</v>
      </c>
    </row>
    <row r="24" spans="1:6" ht="26.4" x14ac:dyDescent="0.3">
      <c r="A24" s="11" t="s">
        <v>999</v>
      </c>
      <c r="B24" s="11" t="s">
        <v>995</v>
      </c>
      <c r="C24" s="11" t="s">
        <v>996</v>
      </c>
      <c r="D24" s="11" t="s">
        <v>1000</v>
      </c>
      <c r="E24" s="11" t="s">
        <v>1001</v>
      </c>
      <c r="F24" s="11" t="s">
        <v>934</v>
      </c>
    </row>
    <row r="25" spans="1:6" ht="26.4" x14ac:dyDescent="0.3">
      <c r="A25" s="11" t="s">
        <v>1002</v>
      </c>
      <c r="B25" s="11" t="s">
        <v>995</v>
      </c>
      <c r="C25" s="11" t="s">
        <v>996</v>
      </c>
      <c r="D25" s="11" t="s">
        <v>1003</v>
      </c>
      <c r="E25" s="11" t="s">
        <v>1004</v>
      </c>
      <c r="F25" s="11" t="s">
        <v>934</v>
      </c>
    </row>
    <row r="26" spans="1:6" ht="26.4" x14ac:dyDescent="0.3">
      <c r="A26" s="11" t="s">
        <v>1005</v>
      </c>
      <c r="B26" s="11" t="s">
        <v>995</v>
      </c>
      <c r="C26" s="11" t="s">
        <v>996</v>
      </c>
      <c r="D26" s="11" t="s">
        <v>1006</v>
      </c>
      <c r="E26" s="11" t="s">
        <v>1007</v>
      </c>
      <c r="F26" s="11" t="s">
        <v>934</v>
      </c>
    </row>
    <row r="27" spans="1:6" x14ac:dyDescent="0.3">
      <c r="A27" s="11" t="s">
        <v>1008</v>
      </c>
      <c r="B27" s="11" t="s">
        <v>995</v>
      </c>
      <c r="C27" s="11" t="s">
        <v>996</v>
      </c>
      <c r="D27" s="11" t="s">
        <v>1009</v>
      </c>
      <c r="E27" s="11" t="s">
        <v>1010</v>
      </c>
      <c r="F27" s="11" t="s">
        <v>947</v>
      </c>
    </row>
    <row r="28" spans="1:6" ht="26.4" x14ac:dyDescent="0.3">
      <c r="A28" s="11" t="s">
        <v>1011</v>
      </c>
      <c r="B28" s="11" t="s">
        <v>995</v>
      </c>
      <c r="C28" s="11" t="s">
        <v>996</v>
      </c>
      <c r="D28" s="11" t="s">
        <v>1012</v>
      </c>
      <c r="E28" s="11" t="s">
        <v>1013</v>
      </c>
      <c r="F28" s="11" t="s">
        <v>934</v>
      </c>
    </row>
    <row r="29" spans="1:6" ht="26.4" x14ac:dyDescent="0.3">
      <c r="A29" s="11" t="s">
        <v>1014</v>
      </c>
      <c r="B29" s="11" t="s">
        <v>1015</v>
      </c>
      <c r="C29" s="11" t="s">
        <v>1016</v>
      </c>
      <c r="D29" s="11" t="s">
        <v>1017</v>
      </c>
      <c r="E29" s="11" t="s">
        <v>1018</v>
      </c>
      <c r="F29" s="11" t="s">
        <v>934</v>
      </c>
    </row>
    <row r="30" spans="1:6" ht="26.4" x14ac:dyDescent="0.3">
      <c r="A30" s="11" t="s">
        <v>1019</v>
      </c>
      <c r="B30" s="11" t="s">
        <v>1015</v>
      </c>
      <c r="C30" s="11" t="s">
        <v>1016</v>
      </c>
      <c r="D30" s="11" t="s">
        <v>1020</v>
      </c>
      <c r="E30" s="11" t="s">
        <v>1021</v>
      </c>
      <c r="F30" s="11" t="s">
        <v>934</v>
      </c>
    </row>
    <row r="31" spans="1:6" ht="26.4" x14ac:dyDescent="0.3">
      <c r="A31" s="11" t="s">
        <v>1022</v>
      </c>
      <c r="B31" s="11" t="s">
        <v>1015</v>
      </c>
      <c r="C31" s="11" t="s">
        <v>1016</v>
      </c>
      <c r="D31" s="11" t="s">
        <v>1023</v>
      </c>
      <c r="E31" s="11" t="s">
        <v>1024</v>
      </c>
      <c r="F31" s="11" t="s">
        <v>934</v>
      </c>
    </row>
    <row r="32" spans="1:6" ht="26.4" x14ac:dyDescent="0.3">
      <c r="A32" s="11" t="s">
        <v>1025</v>
      </c>
      <c r="B32" s="11" t="s">
        <v>1015</v>
      </c>
      <c r="C32" s="11" t="s">
        <v>1016</v>
      </c>
      <c r="D32" s="11" t="s">
        <v>1026</v>
      </c>
      <c r="E32" s="11" t="s">
        <v>1027</v>
      </c>
      <c r="F32" s="11" t="s">
        <v>934</v>
      </c>
    </row>
    <row r="33" spans="1:6" ht="26.4" x14ac:dyDescent="0.3">
      <c r="A33" s="11" t="s">
        <v>1028</v>
      </c>
      <c r="B33" s="11" t="s">
        <v>1015</v>
      </c>
      <c r="C33" s="11" t="s">
        <v>1016</v>
      </c>
      <c r="D33" s="11" t="s">
        <v>1029</v>
      </c>
      <c r="E33" s="11" t="s">
        <v>1030</v>
      </c>
      <c r="F33" s="11" t="s">
        <v>934</v>
      </c>
    </row>
    <row r="34" spans="1:6" ht="26.4" x14ac:dyDescent="0.3">
      <c r="A34" s="11" t="s">
        <v>1031</v>
      </c>
      <c r="B34" s="11" t="s">
        <v>1015</v>
      </c>
      <c r="C34" s="11" t="s">
        <v>1016</v>
      </c>
      <c r="D34" s="11" t="s">
        <v>1032</v>
      </c>
      <c r="E34" s="11" t="s">
        <v>1033</v>
      </c>
      <c r="F34" s="11" t="s">
        <v>934</v>
      </c>
    </row>
    <row r="35" spans="1:6" ht="26.4" x14ac:dyDescent="0.3">
      <c r="A35" s="11" t="s">
        <v>1034</v>
      </c>
      <c r="B35" s="11" t="s">
        <v>1035</v>
      </c>
      <c r="C35" s="11" t="s">
        <v>1036</v>
      </c>
      <c r="D35" s="11" t="s">
        <v>1037</v>
      </c>
      <c r="E35" s="11" t="s">
        <v>1038</v>
      </c>
      <c r="F35" s="11" t="s">
        <v>934</v>
      </c>
    </row>
    <row r="36" spans="1:6" ht="26.4" x14ac:dyDescent="0.3">
      <c r="A36" s="11" t="s">
        <v>1039</v>
      </c>
      <c r="B36" s="11" t="s">
        <v>1035</v>
      </c>
      <c r="C36" s="11" t="s">
        <v>1036</v>
      </c>
      <c r="D36" s="11" t="s">
        <v>1040</v>
      </c>
      <c r="E36" s="11" t="s">
        <v>1041</v>
      </c>
      <c r="F36" s="11" t="s">
        <v>934</v>
      </c>
    </row>
    <row r="37" spans="1:6" x14ac:dyDescent="0.3">
      <c r="A37" s="11" t="s">
        <v>1042</v>
      </c>
      <c r="B37" s="11" t="s">
        <v>1035</v>
      </c>
      <c r="C37" s="11" t="s">
        <v>1036</v>
      </c>
      <c r="D37" s="11" t="s">
        <v>1043</v>
      </c>
      <c r="E37" s="11" t="s">
        <v>1044</v>
      </c>
      <c r="F37" s="11" t="s">
        <v>947</v>
      </c>
    </row>
    <row r="38" spans="1:6" ht="26.4" x14ac:dyDescent="0.3">
      <c r="A38" s="11" t="s">
        <v>1045</v>
      </c>
      <c r="B38" s="11" t="s">
        <v>1035</v>
      </c>
      <c r="C38" s="11" t="s">
        <v>1036</v>
      </c>
      <c r="D38" s="11" t="s">
        <v>1046</v>
      </c>
      <c r="E38" s="11" t="s">
        <v>1047</v>
      </c>
      <c r="F38" s="11" t="s">
        <v>947</v>
      </c>
    </row>
    <row r="39" spans="1:6" x14ac:dyDescent="0.3">
      <c r="A39" s="11" t="s">
        <v>1048</v>
      </c>
      <c r="B39" s="11" t="s">
        <v>1035</v>
      </c>
      <c r="C39" s="11" t="s">
        <v>1036</v>
      </c>
      <c r="D39" s="11" t="s">
        <v>1049</v>
      </c>
      <c r="E39" s="11" t="s">
        <v>1050</v>
      </c>
      <c r="F39" s="11" t="s">
        <v>947</v>
      </c>
    </row>
    <row r="40" spans="1:6" ht="26.4" x14ac:dyDescent="0.3">
      <c r="A40" s="11" t="s">
        <v>1051</v>
      </c>
      <c r="B40" s="11" t="s">
        <v>1052</v>
      </c>
      <c r="C40" s="11" t="s">
        <v>1053</v>
      </c>
      <c r="D40" s="11" t="s">
        <v>1054</v>
      </c>
      <c r="E40" s="11" t="s">
        <v>1055</v>
      </c>
      <c r="F40" s="11" t="s">
        <v>947</v>
      </c>
    </row>
    <row r="41" spans="1:6" x14ac:dyDescent="0.3">
      <c r="A41" s="11" t="s">
        <v>1056</v>
      </c>
      <c r="B41" s="11" t="s">
        <v>1052</v>
      </c>
      <c r="C41" s="11" t="s">
        <v>1053</v>
      </c>
      <c r="D41" s="11" t="s">
        <v>1057</v>
      </c>
      <c r="E41" s="11" t="s">
        <v>1058</v>
      </c>
      <c r="F41" s="11" t="s">
        <v>947</v>
      </c>
    </row>
    <row r="42" spans="1:6" x14ac:dyDescent="0.3">
      <c r="A42" s="11" t="s">
        <v>1059</v>
      </c>
      <c r="B42" s="11" t="s">
        <v>1052</v>
      </c>
      <c r="C42" s="11" t="s">
        <v>1053</v>
      </c>
      <c r="D42" s="11" t="s">
        <v>1060</v>
      </c>
      <c r="E42" s="11" t="s">
        <v>1061</v>
      </c>
      <c r="F42" s="11" t="s">
        <v>947</v>
      </c>
    </row>
    <row r="43" spans="1:6" x14ac:dyDescent="0.3">
      <c r="A43" s="11" t="s">
        <v>1062</v>
      </c>
      <c r="B43" s="11" t="s">
        <v>1052</v>
      </c>
      <c r="C43" s="11" t="s">
        <v>1053</v>
      </c>
      <c r="D43" s="11" t="s">
        <v>1063</v>
      </c>
      <c r="E43" s="11" t="s">
        <v>1064</v>
      </c>
      <c r="F43" s="11" t="s">
        <v>947</v>
      </c>
    </row>
    <row r="44" spans="1:6" ht="26.4" x14ac:dyDescent="0.3">
      <c r="A44" s="11" t="s">
        <v>1065</v>
      </c>
      <c r="B44" s="11" t="s">
        <v>1052</v>
      </c>
      <c r="C44" s="11" t="s">
        <v>1053</v>
      </c>
      <c r="D44" s="11" t="s">
        <v>1066</v>
      </c>
      <c r="E44" s="11" t="s">
        <v>1067</v>
      </c>
      <c r="F44" s="11" t="s">
        <v>934</v>
      </c>
    </row>
    <row r="45" spans="1:6" x14ac:dyDescent="0.3">
      <c r="A45" s="11" t="s">
        <v>1068</v>
      </c>
      <c r="B45" s="11" t="s">
        <v>1052</v>
      </c>
      <c r="C45" s="11" t="s">
        <v>1053</v>
      </c>
      <c r="D45" s="11" t="s">
        <v>1069</v>
      </c>
      <c r="E45" s="11" t="s">
        <v>1070</v>
      </c>
      <c r="F45" s="11" t="s">
        <v>947</v>
      </c>
    </row>
    <row r="46" spans="1:6" ht="26.4" x14ac:dyDescent="0.3">
      <c r="A46" s="11" t="s">
        <v>1071</v>
      </c>
      <c r="B46" s="11" t="s">
        <v>1072</v>
      </c>
      <c r="C46" s="11" t="s">
        <v>1073</v>
      </c>
      <c r="D46" s="11" t="s">
        <v>1074</v>
      </c>
      <c r="E46" s="11" t="s">
        <v>1075</v>
      </c>
      <c r="F46" s="11" t="s">
        <v>947</v>
      </c>
    </row>
    <row r="47" spans="1:6" ht="26.4" x14ac:dyDescent="0.3">
      <c r="A47" s="11" t="s">
        <v>1076</v>
      </c>
      <c r="B47" s="11" t="s">
        <v>1072</v>
      </c>
      <c r="C47" s="11" t="s">
        <v>1073</v>
      </c>
      <c r="D47" s="11" t="s">
        <v>1077</v>
      </c>
      <c r="E47" s="11" t="s">
        <v>1078</v>
      </c>
      <c r="F47" s="11" t="s">
        <v>1079</v>
      </c>
    </row>
    <row r="48" spans="1:6" ht="26.4" x14ac:dyDescent="0.3">
      <c r="A48" s="11" t="s">
        <v>1080</v>
      </c>
      <c r="B48" s="11" t="s">
        <v>1072</v>
      </c>
      <c r="C48" s="11" t="s">
        <v>1073</v>
      </c>
      <c r="D48" s="11" t="s">
        <v>1081</v>
      </c>
      <c r="E48" s="11" t="s">
        <v>1082</v>
      </c>
      <c r="F48" s="11" t="s">
        <v>947</v>
      </c>
    </row>
    <row r="49" spans="1:6" ht="26.4" x14ac:dyDescent="0.3">
      <c r="A49" s="11" t="s">
        <v>1083</v>
      </c>
      <c r="B49" s="11" t="s">
        <v>1072</v>
      </c>
      <c r="C49" s="11" t="s">
        <v>1073</v>
      </c>
      <c r="D49" s="11" t="s">
        <v>1084</v>
      </c>
      <c r="E49" s="11" t="s">
        <v>1085</v>
      </c>
      <c r="F49" s="11" t="s">
        <v>947</v>
      </c>
    </row>
    <row r="50" spans="1:6" x14ac:dyDescent="0.3">
      <c r="A50" s="11" t="s">
        <v>1086</v>
      </c>
      <c r="B50" s="11" t="s">
        <v>1072</v>
      </c>
      <c r="C50" s="11" t="s">
        <v>1073</v>
      </c>
      <c r="D50" s="11" t="s">
        <v>1087</v>
      </c>
      <c r="E50" s="11" t="s">
        <v>1088</v>
      </c>
      <c r="F50" s="11" t="s">
        <v>947</v>
      </c>
    </row>
    <row r="51" spans="1:6" ht="26.4" x14ac:dyDescent="0.3">
      <c r="A51" s="11" t="s">
        <v>1089</v>
      </c>
      <c r="B51" s="11" t="s">
        <v>1072</v>
      </c>
      <c r="C51" s="11" t="s">
        <v>1073</v>
      </c>
      <c r="D51" s="11" t="s">
        <v>1090</v>
      </c>
      <c r="E51" s="11" t="s">
        <v>1091</v>
      </c>
      <c r="F51" s="11" t="s">
        <v>947</v>
      </c>
    </row>
    <row r="52" spans="1:6" ht="26.4" x14ac:dyDescent="0.3">
      <c r="A52" s="11" t="s">
        <v>1092</v>
      </c>
      <c r="B52" s="11" t="s">
        <v>1072</v>
      </c>
      <c r="C52" s="11" t="s">
        <v>1073</v>
      </c>
      <c r="D52" s="11" t="s">
        <v>1093</v>
      </c>
      <c r="E52" s="11" t="s">
        <v>1094</v>
      </c>
      <c r="F52" s="11" t="s">
        <v>934</v>
      </c>
    </row>
    <row r="53" spans="1:6" x14ac:dyDescent="0.3">
      <c r="A53" s="11" t="s">
        <v>1095</v>
      </c>
      <c r="B53" s="11" t="s">
        <v>1072</v>
      </c>
      <c r="C53" s="11" t="s">
        <v>1073</v>
      </c>
      <c r="D53" s="11" t="s">
        <v>1096</v>
      </c>
      <c r="E53" s="11" t="s">
        <v>1097</v>
      </c>
      <c r="F53" s="11" t="s">
        <v>947</v>
      </c>
    </row>
    <row r="54" spans="1:6" x14ac:dyDescent="0.3">
      <c r="A54" s="11" t="s">
        <v>1098</v>
      </c>
      <c r="B54" s="11" t="s">
        <v>1099</v>
      </c>
      <c r="C54" s="11" t="s">
        <v>1100</v>
      </c>
      <c r="D54" s="11" t="s">
        <v>1101</v>
      </c>
      <c r="E54" s="11" t="s">
        <v>1102</v>
      </c>
      <c r="F54" s="11" t="s">
        <v>947</v>
      </c>
    </row>
    <row r="55" spans="1:6" x14ac:dyDescent="0.3">
      <c r="A55" s="11" t="s">
        <v>1103</v>
      </c>
      <c r="B55" s="11" t="s">
        <v>1099</v>
      </c>
      <c r="C55" s="11" t="s">
        <v>1100</v>
      </c>
      <c r="D55" s="11" t="s">
        <v>1104</v>
      </c>
      <c r="E55" s="11" t="s">
        <v>1105</v>
      </c>
      <c r="F55" s="11" t="s">
        <v>947</v>
      </c>
    </row>
    <row r="56" spans="1:6" x14ac:dyDescent="0.3">
      <c r="A56" s="11" t="s">
        <v>1106</v>
      </c>
      <c r="B56" s="11" t="s">
        <v>1099</v>
      </c>
      <c r="C56" s="11" t="s">
        <v>1100</v>
      </c>
      <c r="D56" s="11" t="s">
        <v>1107</v>
      </c>
      <c r="E56" s="11" t="s">
        <v>1108</v>
      </c>
      <c r="F56" s="11" t="s">
        <v>947</v>
      </c>
    </row>
    <row r="57" spans="1:6" x14ac:dyDescent="0.3">
      <c r="A57" s="11" t="s">
        <v>1109</v>
      </c>
      <c r="B57" s="11" t="s">
        <v>1099</v>
      </c>
      <c r="C57" s="11" t="s">
        <v>1100</v>
      </c>
      <c r="D57" s="11" t="s">
        <v>1110</v>
      </c>
      <c r="E57" s="11" t="s">
        <v>1111</v>
      </c>
      <c r="F57" s="11" t="s">
        <v>947</v>
      </c>
    </row>
    <row r="58" spans="1:6" ht="26.4" x14ac:dyDescent="0.3">
      <c r="A58" s="11" t="s">
        <v>1112</v>
      </c>
      <c r="B58" s="11" t="s">
        <v>1099</v>
      </c>
      <c r="C58" s="11" t="s">
        <v>1100</v>
      </c>
      <c r="D58" s="11" t="s">
        <v>1113</v>
      </c>
      <c r="E58" s="11" t="s">
        <v>1114</v>
      </c>
      <c r="F58" s="11" t="s">
        <v>947</v>
      </c>
    </row>
    <row r="59" spans="1:6" x14ac:dyDescent="0.3">
      <c r="A59" s="11" t="s">
        <v>1115</v>
      </c>
      <c r="B59" s="11" t="s">
        <v>1099</v>
      </c>
      <c r="C59" s="11" t="s">
        <v>1100</v>
      </c>
      <c r="D59" s="11" t="s">
        <v>1116</v>
      </c>
      <c r="E59" s="11" t="s">
        <v>1117</v>
      </c>
      <c r="F59" s="11" t="s">
        <v>947</v>
      </c>
    </row>
    <row r="60" spans="1:6" ht="26.4" x14ac:dyDescent="0.3">
      <c r="A60" s="11" t="s">
        <v>1118</v>
      </c>
      <c r="B60" s="11" t="s">
        <v>1119</v>
      </c>
      <c r="C60" s="11" t="s">
        <v>1120</v>
      </c>
      <c r="D60" s="11" t="s">
        <v>1121</v>
      </c>
      <c r="E60" s="11" t="s">
        <v>1122</v>
      </c>
      <c r="F60" s="11" t="s">
        <v>934</v>
      </c>
    </row>
    <row r="61" spans="1:6" x14ac:dyDescent="0.3">
      <c r="A61" s="11" t="s">
        <v>1123</v>
      </c>
      <c r="B61" s="11" t="s">
        <v>1119</v>
      </c>
      <c r="C61" s="11" t="s">
        <v>1120</v>
      </c>
      <c r="D61" s="11" t="s">
        <v>1124</v>
      </c>
      <c r="E61" s="11" t="s">
        <v>1125</v>
      </c>
      <c r="F61" s="11" t="s">
        <v>947</v>
      </c>
    </row>
    <row r="62" spans="1:6" ht="26.4" x14ac:dyDescent="0.3">
      <c r="A62" s="11" t="s">
        <v>1126</v>
      </c>
      <c r="B62" s="11" t="s">
        <v>1119</v>
      </c>
      <c r="C62" s="11" t="s">
        <v>1120</v>
      </c>
      <c r="D62" s="11" t="s">
        <v>1127</v>
      </c>
      <c r="E62" s="11" t="s">
        <v>1128</v>
      </c>
      <c r="F62" s="11" t="s">
        <v>934</v>
      </c>
    </row>
    <row r="63" spans="1:6" x14ac:dyDescent="0.3">
      <c r="A63" s="11" t="s">
        <v>1129</v>
      </c>
      <c r="B63" s="11" t="s">
        <v>1119</v>
      </c>
      <c r="C63" s="11" t="s">
        <v>1120</v>
      </c>
      <c r="D63" s="11" t="s">
        <v>1130</v>
      </c>
      <c r="E63" s="11" t="s">
        <v>1050</v>
      </c>
      <c r="F63" s="11" t="s">
        <v>947</v>
      </c>
    </row>
  </sheetData>
  <autoFilter ref="A3:F6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9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3" customWidth="1"/>
    <col min="2" max="2" width="11" customWidth="1"/>
    <col min="3" max="3" width="12" customWidth="1"/>
    <col min="4" max="4" width="10" customWidth="1"/>
    <col min="5" max="5" width="8" customWidth="1"/>
    <col min="6" max="6" width="50" customWidth="1"/>
    <col min="7" max="7" width="14" customWidth="1"/>
    <col min="8" max="8" width="40" customWidth="1"/>
  </cols>
  <sheetData>
    <row r="1" spans="1:8" ht="17.399999999999999" x14ac:dyDescent="0.3">
      <c r="A1" s="6" t="s">
        <v>1131</v>
      </c>
    </row>
    <row r="3" spans="1:8" ht="39.6" x14ac:dyDescent="0.3">
      <c r="A3" s="9" t="s">
        <v>1132</v>
      </c>
      <c r="B3" s="9" t="s">
        <v>864</v>
      </c>
      <c r="C3" s="9" t="s">
        <v>1133</v>
      </c>
      <c r="D3" s="9" t="s">
        <v>1134</v>
      </c>
      <c r="E3" s="9" t="s">
        <v>1135</v>
      </c>
      <c r="F3" s="9" t="s">
        <v>1136</v>
      </c>
      <c r="G3" s="9" t="s">
        <v>1137</v>
      </c>
      <c r="H3" s="9" t="s">
        <v>1138</v>
      </c>
    </row>
    <row r="4" spans="1:8" ht="26.4" x14ac:dyDescent="0.3">
      <c r="A4" s="15">
        <v>46307</v>
      </c>
      <c r="B4" s="14" t="s">
        <v>328</v>
      </c>
      <c r="C4" s="14">
        <v>5</v>
      </c>
      <c r="D4" s="14">
        <v>2</v>
      </c>
      <c r="E4" s="14">
        <v>7</v>
      </c>
      <c r="F4" s="14" t="s">
        <v>1139</v>
      </c>
      <c r="G4" s="14" t="s">
        <v>1140</v>
      </c>
      <c r="H4" s="14" t="s">
        <v>1141</v>
      </c>
    </row>
    <row r="5" spans="1:8" x14ac:dyDescent="0.3">
      <c r="A5" s="25"/>
      <c r="B5" s="18"/>
      <c r="C5" s="18"/>
      <c r="D5" s="18"/>
      <c r="E5" s="18"/>
      <c r="F5" s="18"/>
      <c r="G5" s="18"/>
      <c r="H5" s="18"/>
    </row>
    <row r="6" spans="1:8" x14ac:dyDescent="0.3">
      <c r="A6" s="25"/>
      <c r="B6" s="18"/>
      <c r="C6" s="18"/>
      <c r="D6" s="18"/>
      <c r="E6" s="18"/>
      <c r="F6" s="18"/>
      <c r="G6" s="18"/>
      <c r="H6" s="18"/>
    </row>
    <row r="7" spans="1:8" x14ac:dyDescent="0.3">
      <c r="A7" s="25"/>
      <c r="B7" s="18"/>
      <c r="C7" s="18"/>
      <c r="D7" s="18"/>
      <c r="E7" s="18"/>
      <c r="F7" s="18"/>
      <c r="G7" s="18"/>
      <c r="H7" s="18"/>
    </row>
    <row r="8" spans="1:8" x14ac:dyDescent="0.3">
      <c r="A8" s="25"/>
      <c r="B8" s="18"/>
      <c r="C8" s="18"/>
      <c r="D8" s="18"/>
      <c r="E8" s="18"/>
      <c r="F8" s="18"/>
      <c r="G8" s="18"/>
      <c r="H8" s="18"/>
    </row>
    <row r="9" spans="1:8" x14ac:dyDescent="0.3">
      <c r="A9" s="25"/>
      <c r="B9" s="18"/>
      <c r="C9" s="18"/>
      <c r="D9" s="18"/>
      <c r="E9" s="18"/>
      <c r="F9" s="18"/>
      <c r="G9" s="18"/>
      <c r="H9" s="18"/>
    </row>
    <row r="10" spans="1:8" x14ac:dyDescent="0.3">
      <c r="A10" s="25"/>
      <c r="B10" s="18"/>
      <c r="C10" s="18"/>
      <c r="D10" s="18"/>
      <c r="E10" s="18"/>
      <c r="F10" s="18"/>
      <c r="G10" s="18"/>
      <c r="H10" s="18"/>
    </row>
    <row r="11" spans="1:8" x14ac:dyDescent="0.3">
      <c r="A11" s="25"/>
      <c r="B11" s="18"/>
      <c r="C11" s="18"/>
      <c r="D11" s="18"/>
      <c r="E11" s="18"/>
      <c r="F11" s="18"/>
      <c r="G11" s="18"/>
      <c r="H11" s="18"/>
    </row>
    <row r="12" spans="1:8" x14ac:dyDescent="0.3">
      <c r="A12" s="25"/>
      <c r="B12" s="18"/>
      <c r="C12" s="18"/>
      <c r="D12" s="18"/>
      <c r="E12" s="18"/>
      <c r="F12" s="18"/>
      <c r="G12" s="18"/>
      <c r="H12" s="18"/>
    </row>
    <row r="13" spans="1:8" x14ac:dyDescent="0.3">
      <c r="A13" s="25"/>
      <c r="B13" s="18"/>
      <c r="C13" s="18"/>
      <c r="D13" s="18"/>
      <c r="E13" s="18"/>
      <c r="F13" s="18"/>
      <c r="G13" s="18"/>
      <c r="H13" s="18"/>
    </row>
    <row r="14" spans="1:8" x14ac:dyDescent="0.3">
      <c r="A14" s="25"/>
      <c r="B14" s="18"/>
      <c r="C14" s="18"/>
      <c r="D14" s="18"/>
      <c r="E14" s="18"/>
      <c r="F14" s="18"/>
      <c r="G14" s="18"/>
      <c r="H14" s="18"/>
    </row>
    <row r="15" spans="1:8" x14ac:dyDescent="0.3">
      <c r="A15" s="25"/>
      <c r="B15" s="18"/>
      <c r="C15" s="18"/>
      <c r="D15" s="18"/>
      <c r="E15" s="18"/>
      <c r="F15" s="18"/>
      <c r="G15" s="18"/>
      <c r="H15" s="18"/>
    </row>
    <row r="16" spans="1:8" x14ac:dyDescent="0.3">
      <c r="A16" s="25"/>
      <c r="B16" s="18"/>
      <c r="C16" s="18"/>
      <c r="D16" s="18"/>
      <c r="E16" s="18"/>
      <c r="F16" s="18"/>
      <c r="G16" s="18"/>
      <c r="H16" s="18"/>
    </row>
    <row r="17" spans="1:8" x14ac:dyDescent="0.3">
      <c r="A17" s="25"/>
      <c r="B17" s="18"/>
      <c r="C17" s="18"/>
      <c r="D17" s="18"/>
      <c r="E17" s="18"/>
      <c r="F17" s="18"/>
      <c r="G17" s="18"/>
      <c r="H17" s="18"/>
    </row>
    <row r="18" spans="1:8" x14ac:dyDescent="0.3">
      <c r="A18" s="25"/>
      <c r="B18" s="18"/>
      <c r="C18" s="18"/>
      <c r="D18" s="18"/>
      <c r="E18" s="18"/>
      <c r="F18" s="18"/>
      <c r="G18" s="18"/>
      <c r="H18" s="18"/>
    </row>
    <row r="19" spans="1:8" x14ac:dyDescent="0.3">
      <c r="A19" s="25"/>
      <c r="B19" s="18"/>
      <c r="C19" s="18"/>
      <c r="D19" s="18"/>
      <c r="E19" s="18"/>
      <c r="F19" s="18"/>
      <c r="G19" s="18"/>
      <c r="H19" s="18"/>
    </row>
    <row r="20" spans="1:8" x14ac:dyDescent="0.3">
      <c r="A20" s="25"/>
      <c r="B20" s="18"/>
      <c r="C20" s="18"/>
      <c r="D20" s="18"/>
      <c r="E20" s="18"/>
      <c r="F20" s="18"/>
      <c r="G20" s="18"/>
      <c r="H20" s="18"/>
    </row>
    <row r="21" spans="1:8" x14ac:dyDescent="0.3">
      <c r="A21" s="25"/>
      <c r="B21" s="18"/>
      <c r="C21" s="18"/>
      <c r="D21" s="18"/>
      <c r="E21" s="18"/>
      <c r="F21" s="18"/>
      <c r="G21" s="18"/>
      <c r="H21" s="18"/>
    </row>
    <row r="22" spans="1:8" x14ac:dyDescent="0.3">
      <c r="A22" s="25"/>
      <c r="B22" s="18"/>
      <c r="C22" s="18"/>
      <c r="D22" s="18"/>
      <c r="E22" s="18"/>
      <c r="F22" s="18"/>
      <c r="G22" s="18"/>
      <c r="H22" s="18"/>
    </row>
    <row r="23" spans="1:8" x14ac:dyDescent="0.3">
      <c r="A23" s="25"/>
      <c r="B23" s="18"/>
      <c r="C23" s="18"/>
      <c r="D23" s="18"/>
      <c r="E23" s="18"/>
      <c r="F23" s="18"/>
      <c r="G23" s="18"/>
      <c r="H23" s="18"/>
    </row>
    <row r="24" spans="1:8" x14ac:dyDescent="0.3">
      <c r="A24" s="25"/>
      <c r="B24" s="18"/>
      <c r="C24" s="18"/>
      <c r="D24" s="18"/>
      <c r="E24" s="18"/>
      <c r="F24" s="18"/>
      <c r="G24" s="18"/>
      <c r="H24" s="18"/>
    </row>
    <row r="25" spans="1:8" x14ac:dyDescent="0.3">
      <c r="A25" s="25"/>
      <c r="B25" s="18"/>
      <c r="C25" s="18"/>
      <c r="D25" s="18"/>
      <c r="E25" s="18"/>
      <c r="F25" s="18"/>
      <c r="G25" s="18"/>
      <c r="H25" s="18"/>
    </row>
    <row r="26" spans="1:8" x14ac:dyDescent="0.3">
      <c r="A26" s="25"/>
      <c r="B26" s="18"/>
      <c r="C26" s="18"/>
      <c r="D26" s="18"/>
      <c r="E26" s="18"/>
      <c r="F26" s="18"/>
      <c r="G26" s="18"/>
      <c r="H26" s="18"/>
    </row>
    <row r="27" spans="1:8" x14ac:dyDescent="0.3">
      <c r="A27" s="25"/>
      <c r="B27" s="18"/>
      <c r="C27" s="18"/>
      <c r="D27" s="18"/>
      <c r="E27" s="18"/>
      <c r="F27" s="18"/>
      <c r="G27" s="18"/>
      <c r="H27" s="18"/>
    </row>
    <row r="28" spans="1:8" x14ac:dyDescent="0.3">
      <c r="A28" s="25"/>
      <c r="B28" s="18"/>
      <c r="C28" s="18"/>
      <c r="D28" s="18"/>
      <c r="E28" s="18"/>
      <c r="F28" s="18"/>
      <c r="G28" s="18"/>
      <c r="H28" s="18"/>
    </row>
    <row r="29" spans="1:8" x14ac:dyDescent="0.3">
      <c r="A29" s="25"/>
      <c r="B29" s="18"/>
      <c r="C29" s="18"/>
      <c r="D29" s="18"/>
      <c r="E29" s="18"/>
      <c r="F29" s="18"/>
      <c r="G29" s="18"/>
      <c r="H29" s="18"/>
    </row>
    <row r="30" spans="1:8" x14ac:dyDescent="0.3">
      <c r="A30" s="25"/>
      <c r="B30" s="18"/>
      <c r="C30" s="18"/>
      <c r="D30" s="18"/>
      <c r="E30" s="18"/>
      <c r="F30" s="18"/>
      <c r="G30" s="18"/>
      <c r="H30" s="18"/>
    </row>
    <row r="31" spans="1:8" x14ac:dyDescent="0.3">
      <c r="A31" s="25"/>
      <c r="B31" s="18"/>
      <c r="C31" s="18"/>
      <c r="D31" s="18"/>
      <c r="E31" s="18"/>
      <c r="F31" s="18"/>
      <c r="G31" s="18"/>
      <c r="H31" s="18"/>
    </row>
    <row r="32" spans="1:8" x14ac:dyDescent="0.3">
      <c r="A32" s="25"/>
      <c r="B32" s="18"/>
      <c r="C32" s="18"/>
      <c r="D32" s="18"/>
      <c r="E32" s="18"/>
      <c r="F32" s="18"/>
      <c r="G32" s="18"/>
      <c r="H32" s="18"/>
    </row>
    <row r="33" spans="1:8" x14ac:dyDescent="0.3">
      <c r="A33" s="25"/>
      <c r="B33" s="18"/>
      <c r="C33" s="18"/>
      <c r="D33" s="18"/>
      <c r="E33" s="18"/>
      <c r="F33" s="18"/>
      <c r="G33" s="18"/>
      <c r="H33" s="18"/>
    </row>
    <row r="34" spans="1:8" x14ac:dyDescent="0.3">
      <c r="A34" s="25"/>
      <c r="B34" s="18"/>
      <c r="C34" s="18"/>
      <c r="D34" s="18"/>
      <c r="E34" s="18"/>
      <c r="F34" s="18"/>
      <c r="G34" s="18"/>
      <c r="H34" s="18"/>
    </row>
    <row r="35" spans="1:8" x14ac:dyDescent="0.3">
      <c r="A35" s="25"/>
      <c r="B35" s="18"/>
      <c r="C35" s="18"/>
      <c r="D35" s="18"/>
      <c r="E35" s="18"/>
      <c r="F35" s="18"/>
      <c r="G35" s="18"/>
      <c r="H35" s="18"/>
    </row>
    <row r="36" spans="1:8" x14ac:dyDescent="0.3">
      <c r="A36" s="25"/>
      <c r="B36" s="18"/>
      <c r="C36" s="18"/>
      <c r="D36" s="18"/>
      <c r="E36" s="18"/>
      <c r="F36" s="18"/>
      <c r="G36" s="18"/>
      <c r="H36" s="18"/>
    </row>
    <row r="37" spans="1:8" x14ac:dyDescent="0.3">
      <c r="A37" s="25"/>
      <c r="B37" s="18"/>
      <c r="C37" s="18"/>
      <c r="D37" s="18"/>
      <c r="E37" s="18"/>
      <c r="F37" s="18"/>
      <c r="G37" s="18"/>
      <c r="H37" s="18"/>
    </row>
    <row r="38" spans="1:8" x14ac:dyDescent="0.3">
      <c r="A38" s="25"/>
      <c r="B38" s="18"/>
      <c r="C38" s="18"/>
      <c r="D38" s="18"/>
      <c r="E38" s="18"/>
      <c r="F38" s="18"/>
      <c r="G38" s="18"/>
      <c r="H38" s="18"/>
    </row>
    <row r="39" spans="1:8" x14ac:dyDescent="0.3">
      <c r="A39" s="25"/>
      <c r="B39" s="18"/>
      <c r="C39" s="18"/>
      <c r="D39" s="18"/>
      <c r="E39" s="18"/>
      <c r="F39" s="18"/>
      <c r="G39" s="18"/>
      <c r="H39" s="18"/>
    </row>
    <row r="40" spans="1:8" x14ac:dyDescent="0.3">
      <c r="A40" s="25"/>
      <c r="B40" s="18"/>
      <c r="C40" s="18"/>
      <c r="D40" s="18"/>
      <c r="E40" s="18"/>
      <c r="F40" s="18"/>
      <c r="G40" s="18"/>
      <c r="H40" s="18"/>
    </row>
    <row r="41" spans="1:8" x14ac:dyDescent="0.3">
      <c r="A41" s="25"/>
      <c r="B41" s="18"/>
      <c r="C41" s="18"/>
      <c r="D41" s="18"/>
      <c r="E41" s="18"/>
      <c r="F41" s="18"/>
      <c r="G41" s="18"/>
      <c r="H41" s="18"/>
    </row>
    <row r="42" spans="1:8" x14ac:dyDescent="0.3">
      <c r="A42" s="25"/>
      <c r="B42" s="18"/>
      <c r="C42" s="18"/>
      <c r="D42" s="18"/>
      <c r="E42" s="18"/>
      <c r="F42" s="18"/>
      <c r="G42" s="18"/>
      <c r="H42" s="18"/>
    </row>
    <row r="43" spans="1:8" x14ac:dyDescent="0.3">
      <c r="A43" s="25"/>
      <c r="B43" s="18"/>
      <c r="C43" s="18"/>
      <c r="D43" s="18"/>
      <c r="E43" s="18"/>
      <c r="F43" s="18"/>
      <c r="G43" s="18"/>
      <c r="H43" s="18"/>
    </row>
    <row r="44" spans="1:8" x14ac:dyDescent="0.3">
      <c r="A44" s="25"/>
      <c r="B44" s="18"/>
      <c r="C44" s="18"/>
      <c r="D44" s="18"/>
      <c r="E44" s="18"/>
      <c r="F44" s="18"/>
      <c r="G44" s="18"/>
      <c r="H44" s="18"/>
    </row>
    <row r="45" spans="1:8" x14ac:dyDescent="0.3">
      <c r="A45" s="25"/>
      <c r="B45" s="18"/>
      <c r="C45" s="18"/>
      <c r="D45" s="18"/>
      <c r="E45" s="18"/>
      <c r="F45" s="18"/>
      <c r="G45" s="18"/>
      <c r="H45" s="18"/>
    </row>
    <row r="46" spans="1:8" x14ac:dyDescent="0.3">
      <c r="A46" s="25"/>
      <c r="B46" s="18"/>
      <c r="C46" s="18"/>
      <c r="D46" s="18"/>
      <c r="E46" s="18"/>
      <c r="F46" s="18"/>
      <c r="G46" s="18"/>
      <c r="H46" s="18"/>
    </row>
    <row r="47" spans="1:8" x14ac:dyDescent="0.3">
      <c r="A47" s="25"/>
      <c r="B47" s="18"/>
      <c r="C47" s="18"/>
      <c r="D47" s="18"/>
      <c r="E47" s="18"/>
      <c r="F47" s="18"/>
      <c r="G47" s="18"/>
      <c r="H47" s="18"/>
    </row>
    <row r="48" spans="1:8" x14ac:dyDescent="0.3">
      <c r="A48" s="25"/>
      <c r="B48" s="18"/>
      <c r="C48" s="18"/>
      <c r="D48" s="18"/>
      <c r="E48" s="18"/>
      <c r="F48" s="18"/>
      <c r="G48" s="18"/>
      <c r="H48" s="18"/>
    </row>
    <row r="49" spans="1:8" x14ac:dyDescent="0.3">
      <c r="A49" s="25"/>
      <c r="B49" s="18"/>
      <c r="C49" s="18"/>
      <c r="D49" s="18"/>
      <c r="E49" s="18"/>
      <c r="F49" s="18"/>
      <c r="G49" s="18"/>
      <c r="H49" s="18"/>
    </row>
    <row r="50" spans="1:8" x14ac:dyDescent="0.3">
      <c r="A50" s="25"/>
      <c r="B50" s="18"/>
      <c r="C50" s="18"/>
      <c r="D50" s="18"/>
      <c r="E50" s="18"/>
      <c r="F50" s="18"/>
      <c r="G50" s="18"/>
      <c r="H50" s="18"/>
    </row>
    <row r="51" spans="1:8" x14ac:dyDescent="0.3">
      <c r="A51" s="25"/>
      <c r="B51" s="18"/>
      <c r="C51" s="18"/>
      <c r="D51" s="18"/>
      <c r="E51" s="18"/>
      <c r="F51" s="18"/>
      <c r="G51" s="18"/>
      <c r="H51" s="18"/>
    </row>
    <row r="52" spans="1:8" x14ac:dyDescent="0.3">
      <c r="A52" s="25"/>
      <c r="B52" s="18"/>
      <c r="C52" s="18"/>
      <c r="D52" s="18"/>
      <c r="E52" s="18"/>
      <c r="F52" s="18"/>
      <c r="G52" s="18"/>
      <c r="H52" s="18"/>
    </row>
    <row r="53" spans="1:8" x14ac:dyDescent="0.3">
      <c r="A53" s="25"/>
      <c r="B53" s="18"/>
      <c r="C53" s="18"/>
      <c r="D53" s="18"/>
      <c r="E53" s="18"/>
      <c r="F53" s="18"/>
      <c r="G53" s="18"/>
      <c r="H53" s="18"/>
    </row>
    <row r="54" spans="1:8" x14ac:dyDescent="0.3">
      <c r="A54" s="25"/>
      <c r="B54" s="18"/>
      <c r="C54" s="18"/>
      <c r="D54" s="18"/>
      <c r="E54" s="18"/>
      <c r="F54" s="18"/>
      <c r="G54" s="18"/>
      <c r="H54" s="18"/>
    </row>
    <row r="55" spans="1:8" x14ac:dyDescent="0.3">
      <c r="A55" s="25"/>
      <c r="B55" s="18"/>
      <c r="C55" s="18"/>
      <c r="D55" s="18"/>
      <c r="E55" s="18"/>
      <c r="F55" s="18"/>
      <c r="G55" s="18"/>
      <c r="H55" s="18"/>
    </row>
    <row r="56" spans="1:8" x14ac:dyDescent="0.3">
      <c r="A56" s="25"/>
      <c r="B56" s="18"/>
      <c r="C56" s="18"/>
      <c r="D56" s="18"/>
      <c r="E56" s="18"/>
      <c r="F56" s="18"/>
      <c r="G56" s="18"/>
      <c r="H56" s="18"/>
    </row>
    <row r="57" spans="1:8" x14ac:dyDescent="0.3">
      <c r="A57" s="25"/>
      <c r="B57" s="18"/>
      <c r="C57" s="18"/>
      <c r="D57" s="18"/>
      <c r="E57" s="18"/>
      <c r="F57" s="18"/>
      <c r="G57" s="18"/>
      <c r="H57" s="18"/>
    </row>
    <row r="58" spans="1:8" x14ac:dyDescent="0.3">
      <c r="A58" s="25"/>
      <c r="B58" s="18"/>
      <c r="C58" s="18"/>
      <c r="D58" s="18"/>
      <c r="E58" s="18"/>
      <c r="F58" s="18"/>
      <c r="G58" s="18"/>
      <c r="H58" s="18"/>
    </row>
    <row r="59" spans="1:8" x14ac:dyDescent="0.3">
      <c r="A59" s="25"/>
      <c r="B59" s="18"/>
      <c r="C59" s="18"/>
      <c r="D59" s="18"/>
      <c r="E59" s="18"/>
      <c r="F59" s="18"/>
      <c r="G59" s="18"/>
      <c r="H59" s="18"/>
    </row>
    <row r="60" spans="1:8" x14ac:dyDescent="0.3">
      <c r="A60" s="25"/>
      <c r="B60" s="18"/>
      <c r="C60" s="18"/>
      <c r="D60" s="18"/>
      <c r="E60" s="18"/>
      <c r="F60" s="18"/>
      <c r="G60" s="18"/>
      <c r="H60" s="18"/>
    </row>
    <row r="61" spans="1:8" x14ac:dyDescent="0.3">
      <c r="A61" s="25"/>
      <c r="B61" s="18"/>
      <c r="C61" s="18"/>
      <c r="D61" s="18"/>
      <c r="E61" s="18"/>
      <c r="F61" s="18"/>
      <c r="G61" s="18"/>
      <c r="H61" s="18"/>
    </row>
    <row r="62" spans="1:8" x14ac:dyDescent="0.3">
      <c r="A62" s="25"/>
      <c r="B62" s="18"/>
      <c r="C62" s="18"/>
      <c r="D62" s="18"/>
      <c r="E62" s="18"/>
      <c r="F62" s="18"/>
      <c r="G62" s="18"/>
      <c r="H62" s="18"/>
    </row>
    <row r="63" spans="1:8" x14ac:dyDescent="0.3">
      <c r="A63" s="25"/>
      <c r="B63" s="18"/>
      <c r="C63" s="18"/>
      <c r="D63" s="18"/>
      <c r="E63" s="18"/>
      <c r="F63" s="18"/>
      <c r="G63" s="18"/>
      <c r="H63" s="18"/>
    </row>
    <row r="64" spans="1:8" x14ac:dyDescent="0.3">
      <c r="A64" s="25"/>
      <c r="B64" s="18"/>
      <c r="C64" s="18"/>
      <c r="D64" s="18"/>
      <c r="E64" s="18"/>
      <c r="F64" s="18"/>
      <c r="G64" s="18"/>
      <c r="H64" s="18"/>
    </row>
    <row r="65" spans="1:8" x14ac:dyDescent="0.3">
      <c r="A65" s="25"/>
      <c r="B65" s="18"/>
      <c r="C65" s="18"/>
      <c r="D65" s="18"/>
      <c r="E65" s="18"/>
      <c r="F65" s="18"/>
      <c r="G65" s="18"/>
      <c r="H65" s="18"/>
    </row>
    <row r="66" spans="1:8" x14ac:dyDescent="0.3">
      <c r="A66" s="25"/>
      <c r="B66" s="18"/>
      <c r="C66" s="18"/>
      <c r="D66" s="18"/>
      <c r="E66" s="18"/>
      <c r="F66" s="18"/>
      <c r="G66" s="18"/>
      <c r="H66" s="18"/>
    </row>
    <row r="67" spans="1:8" x14ac:dyDescent="0.3">
      <c r="A67" s="25"/>
      <c r="B67" s="18"/>
      <c r="C67" s="18"/>
      <c r="D67" s="18"/>
      <c r="E67" s="18"/>
      <c r="F67" s="18"/>
      <c r="G67" s="18"/>
      <c r="H67" s="18"/>
    </row>
    <row r="68" spans="1:8" x14ac:dyDescent="0.3">
      <c r="A68" s="25"/>
      <c r="B68" s="18"/>
      <c r="C68" s="18"/>
      <c r="D68" s="18"/>
      <c r="E68" s="18"/>
      <c r="F68" s="18"/>
      <c r="G68" s="18"/>
      <c r="H68" s="18"/>
    </row>
    <row r="69" spans="1:8" x14ac:dyDescent="0.3">
      <c r="A69" s="25"/>
      <c r="B69" s="18"/>
      <c r="C69" s="18"/>
      <c r="D69" s="18"/>
      <c r="E69" s="18"/>
      <c r="F69" s="18"/>
      <c r="G69" s="18"/>
      <c r="H69" s="18"/>
    </row>
    <row r="70" spans="1:8" x14ac:dyDescent="0.3">
      <c r="A70" s="25"/>
      <c r="B70" s="18"/>
      <c r="C70" s="18"/>
      <c r="D70" s="18"/>
      <c r="E70" s="18"/>
      <c r="F70" s="18"/>
      <c r="G70" s="18"/>
      <c r="H70" s="18"/>
    </row>
    <row r="71" spans="1:8" x14ac:dyDescent="0.3">
      <c r="A71" s="25"/>
      <c r="B71" s="18"/>
      <c r="C71" s="18"/>
      <c r="D71" s="18"/>
      <c r="E71" s="18"/>
      <c r="F71" s="18"/>
      <c r="G71" s="18"/>
      <c r="H71" s="18"/>
    </row>
    <row r="72" spans="1:8" x14ac:dyDescent="0.3">
      <c r="A72" s="25"/>
      <c r="B72" s="18"/>
      <c r="C72" s="18"/>
      <c r="D72" s="18"/>
      <c r="E72" s="18"/>
      <c r="F72" s="18"/>
      <c r="G72" s="18"/>
      <c r="H72" s="18"/>
    </row>
    <row r="73" spans="1:8" x14ac:dyDescent="0.3">
      <c r="A73" s="25"/>
      <c r="B73" s="18"/>
      <c r="C73" s="18"/>
      <c r="D73" s="18"/>
      <c r="E73" s="18"/>
      <c r="F73" s="18"/>
      <c r="G73" s="18"/>
      <c r="H73" s="18"/>
    </row>
    <row r="74" spans="1:8" x14ac:dyDescent="0.3">
      <c r="A74" s="25"/>
      <c r="B74" s="18"/>
      <c r="C74" s="18"/>
      <c r="D74" s="18"/>
      <c r="E74" s="18"/>
      <c r="F74" s="18"/>
      <c r="G74" s="18"/>
      <c r="H74" s="18"/>
    </row>
    <row r="75" spans="1:8" x14ac:dyDescent="0.3">
      <c r="A75" s="25"/>
      <c r="B75" s="18"/>
      <c r="C75" s="18"/>
      <c r="D75" s="18"/>
      <c r="E75" s="18"/>
      <c r="F75" s="18"/>
      <c r="G75" s="18"/>
      <c r="H75" s="18"/>
    </row>
    <row r="76" spans="1:8" x14ac:dyDescent="0.3">
      <c r="A76" s="25"/>
      <c r="B76" s="18"/>
      <c r="C76" s="18"/>
      <c r="D76" s="18"/>
      <c r="E76" s="18"/>
      <c r="F76" s="18"/>
      <c r="G76" s="18"/>
      <c r="H76" s="18"/>
    </row>
    <row r="77" spans="1:8" x14ac:dyDescent="0.3">
      <c r="A77" s="25"/>
      <c r="B77" s="18"/>
      <c r="C77" s="18"/>
      <c r="D77" s="18"/>
      <c r="E77" s="18"/>
      <c r="F77" s="18"/>
      <c r="G77" s="18"/>
      <c r="H77" s="18"/>
    </row>
    <row r="78" spans="1:8" x14ac:dyDescent="0.3">
      <c r="A78" s="25"/>
      <c r="B78" s="18"/>
      <c r="C78" s="18"/>
      <c r="D78" s="18"/>
      <c r="E78" s="18"/>
      <c r="F78" s="18"/>
      <c r="G78" s="18"/>
      <c r="H78" s="18"/>
    </row>
    <row r="79" spans="1:8" x14ac:dyDescent="0.3">
      <c r="A79" s="25"/>
      <c r="B79" s="18"/>
      <c r="C79" s="18"/>
      <c r="D79" s="18"/>
      <c r="E79" s="18"/>
      <c r="F79" s="18"/>
      <c r="G79" s="18"/>
      <c r="H79" s="18"/>
    </row>
    <row r="80" spans="1:8" x14ac:dyDescent="0.3">
      <c r="A80" s="25"/>
      <c r="B80" s="18"/>
      <c r="C80" s="18"/>
      <c r="D80" s="18"/>
      <c r="E80" s="18"/>
      <c r="F80" s="18"/>
      <c r="G80" s="18"/>
      <c r="H80" s="18"/>
    </row>
    <row r="81" spans="1:8" x14ac:dyDescent="0.3">
      <c r="A81" s="25"/>
      <c r="B81" s="18"/>
      <c r="C81" s="18"/>
      <c r="D81" s="18"/>
      <c r="E81" s="18"/>
      <c r="F81" s="18"/>
      <c r="G81" s="18"/>
      <c r="H81" s="18"/>
    </row>
    <row r="82" spans="1:8" x14ac:dyDescent="0.3">
      <c r="A82" s="25"/>
      <c r="B82" s="18"/>
      <c r="C82" s="18"/>
      <c r="D82" s="18"/>
      <c r="E82" s="18"/>
      <c r="F82" s="18"/>
      <c r="G82" s="18"/>
      <c r="H82" s="18"/>
    </row>
    <row r="83" spans="1:8" x14ac:dyDescent="0.3">
      <c r="A83" s="25"/>
      <c r="B83" s="18"/>
      <c r="C83" s="18"/>
      <c r="D83" s="18"/>
      <c r="E83" s="18"/>
      <c r="F83" s="18"/>
      <c r="G83" s="18"/>
      <c r="H83" s="18"/>
    </row>
    <row r="84" spans="1:8" x14ac:dyDescent="0.3">
      <c r="A84" s="25"/>
      <c r="B84" s="18"/>
      <c r="C84" s="18"/>
      <c r="D84" s="18"/>
      <c r="E84" s="18"/>
      <c r="F84" s="18"/>
      <c r="G84" s="18"/>
      <c r="H84" s="18"/>
    </row>
    <row r="85" spans="1:8" x14ac:dyDescent="0.3">
      <c r="A85" s="25"/>
      <c r="B85" s="18"/>
      <c r="C85" s="18"/>
      <c r="D85" s="18"/>
      <c r="E85" s="18"/>
      <c r="F85" s="18"/>
      <c r="G85" s="18"/>
      <c r="H85" s="18"/>
    </row>
    <row r="86" spans="1:8" x14ac:dyDescent="0.3">
      <c r="A86" s="25"/>
      <c r="B86" s="18"/>
      <c r="C86" s="18"/>
      <c r="D86" s="18"/>
      <c r="E86" s="18"/>
      <c r="F86" s="18"/>
      <c r="G86" s="18"/>
      <c r="H86" s="18"/>
    </row>
    <row r="87" spans="1:8" x14ac:dyDescent="0.3">
      <c r="A87" s="25"/>
      <c r="B87" s="18"/>
      <c r="C87" s="18"/>
      <c r="D87" s="18"/>
      <c r="E87" s="18"/>
      <c r="F87" s="18"/>
      <c r="G87" s="18"/>
      <c r="H87" s="18"/>
    </row>
    <row r="88" spans="1:8" x14ac:dyDescent="0.3">
      <c r="A88" s="25"/>
      <c r="B88" s="18"/>
      <c r="C88" s="18"/>
      <c r="D88" s="18"/>
      <c r="E88" s="18"/>
      <c r="F88" s="18"/>
      <c r="G88" s="18"/>
      <c r="H88" s="18"/>
    </row>
    <row r="89" spans="1:8" x14ac:dyDescent="0.3">
      <c r="A89" s="25"/>
      <c r="B89" s="18"/>
      <c r="C89" s="18"/>
      <c r="D89" s="18"/>
      <c r="E89" s="18"/>
      <c r="F89" s="18"/>
      <c r="G89" s="18"/>
      <c r="H89" s="18"/>
    </row>
    <row r="90" spans="1:8" x14ac:dyDescent="0.3">
      <c r="A90" s="25"/>
      <c r="B90" s="18"/>
      <c r="C90" s="18"/>
      <c r="D90" s="18"/>
      <c r="E90" s="18"/>
      <c r="F90" s="18"/>
      <c r="G90" s="18"/>
      <c r="H90" s="18"/>
    </row>
    <row r="91" spans="1:8" x14ac:dyDescent="0.3">
      <c r="A91" s="25"/>
      <c r="B91" s="18"/>
      <c r="C91" s="18"/>
      <c r="D91" s="18"/>
      <c r="E91" s="18"/>
      <c r="F91" s="18"/>
      <c r="G91" s="18"/>
      <c r="H91" s="18"/>
    </row>
    <row r="92" spans="1:8" x14ac:dyDescent="0.3">
      <c r="A92" s="25"/>
      <c r="B92" s="18"/>
      <c r="C92" s="18"/>
      <c r="D92" s="18"/>
      <c r="E92" s="18"/>
      <c r="F92" s="18"/>
      <c r="G92" s="18"/>
      <c r="H92" s="18"/>
    </row>
    <row r="93" spans="1:8" x14ac:dyDescent="0.3">
      <c r="A93" s="25"/>
      <c r="B93" s="18"/>
      <c r="C93" s="18"/>
      <c r="D93" s="18"/>
      <c r="E93" s="18"/>
      <c r="F93" s="18"/>
      <c r="G93" s="18"/>
      <c r="H93" s="18"/>
    </row>
    <row r="94" spans="1:8" x14ac:dyDescent="0.3">
      <c r="A94" s="25"/>
      <c r="B94" s="18"/>
      <c r="C94" s="18"/>
      <c r="D94" s="18"/>
      <c r="E94" s="18"/>
      <c r="F94" s="18"/>
      <c r="G94" s="18"/>
      <c r="H94" s="18"/>
    </row>
    <row r="95" spans="1:8" x14ac:dyDescent="0.3">
      <c r="A95" s="25"/>
      <c r="B95" s="18"/>
      <c r="C95" s="18"/>
      <c r="D95" s="18"/>
      <c r="E95" s="18"/>
      <c r="F95" s="18"/>
      <c r="G95" s="18"/>
      <c r="H95" s="18"/>
    </row>
    <row r="96" spans="1:8" x14ac:dyDescent="0.3">
      <c r="A96" s="25"/>
      <c r="B96" s="18"/>
      <c r="C96" s="18"/>
      <c r="D96" s="18"/>
      <c r="E96" s="18"/>
      <c r="F96" s="18"/>
      <c r="G96" s="18"/>
      <c r="H96" s="18"/>
    </row>
    <row r="97" spans="1:8" x14ac:dyDescent="0.3">
      <c r="A97" s="25"/>
      <c r="B97" s="18"/>
      <c r="C97" s="18"/>
      <c r="D97" s="18"/>
      <c r="E97" s="18"/>
      <c r="F97" s="18"/>
      <c r="G97" s="18"/>
      <c r="H97" s="18"/>
    </row>
    <row r="98" spans="1:8" x14ac:dyDescent="0.3">
      <c r="A98" s="25"/>
      <c r="B98" s="18"/>
      <c r="C98" s="18"/>
      <c r="D98" s="18"/>
      <c r="E98" s="18"/>
      <c r="F98" s="18"/>
      <c r="G98" s="18"/>
      <c r="H98" s="18"/>
    </row>
    <row r="99" spans="1:8" x14ac:dyDescent="0.3">
      <c r="A99" s="25"/>
      <c r="B99" s="18"/>
      <c r="C99" s="18"/>
      <c r="D99" s="18"/>
      <c r="E99" s="18"/>
      <c r="F99" s="18"/>
      <c r="G99" s="18"/>
      <c r="H99" s="18"/>
    </row>
    <row r="100" spans="1:8" x14ac:dyDescent="0.3">
      <c r="A100" s="25"/>
      <c r="B100" s="18"/>
      <c r="C100" s="18"/>
      <c r="D100" s="18"/>
      <c r="E100" s="18"/>
      <c r="F100" s="18"/>
      <c r="G100" s="18"/>
      <c r="H100" s="18"/>
    </row>
    <row r="101" spans="1:8" x14ac:dyDescent="0.3">
      <c r="A101" s="25"/>
      <c r="B101" s="18"/>
      <c r="C101" s="18"/>
      <c r="D101" s="18"/>
      <c r="E101" s="18"/>
      <c r="F101" s="18"/>
      <c r="G101" s="18"/>
      <c r="H101" s="18"/>
    </row>
    <row r="102" spans="1:8" x14ac:dyDescent="0.3">
      <c r="A102" s="25"/>
      <c r="B102" s="18"/>
      <c r="C102" s="18"/>
      <c r="D102" s="18"/>
      <c r="E102" s="18"/>
      <c r="F102" s="18"/>
      <c r="G102" s="18"/>
      <c r="H102" s="18"/>
    </row>
    <row r="103" spans="1:8" x14ac:dyDescent="0.3">
      <c r="A103" s="25"/>
      <c r="B103" s="18"/>
      <c r="C103" s="18"/>
      <c r="D103" s="18"/>
      <c r="E103" s="18"/>
      <c r="F103" s="18"/>
      <c r="G103" s="18"/>
      <c r="H103" s="18"/>
    </row>
    <row r="104" spans="1:8" x14ac:dyDescent="0.3">
      <c r="A104" s="25"/>
      <c r="B104" s="18"/>
      <c r="C104" s="18"/>
      <c r="D104" s="18"/>
      <c r="E104" s="18"/>
      <c r="F104" s="18"/>
      <c r="G104" s="18"/>
      <c r="H104" s="18"/>
    </row>
    <row r="105" spans="1:8" x14ac:dyDescent="0.3">
      <c r="A105" s="25"/>
      <c r="B105" s="18"/>
      <c r="C105" s="18"/>
      <c r="D105" s="18"/>
      <c r="E105" s="18"/>
      <c r="F105" s="18"/>
      <c r="G105" s="18"/>
      <c r="H105" s="18"/>
    </row>
    <row r="106" spans="1:8" x14ac:dyDescent="0.3">
      <c r="A106" s="25"/>
      <c r="B106" s="18"/>
      <c r="C106" s="18"/>
      <c r="D106" s="18"/>
      <c r="E106" s="18"/>
      <c r="F106" s="18"/>
      <c r="G106" s="18"/>
      <c r="H106" s="18"/>
    </row>
    <row r="107" spans="1:8" x14ac:dyDescent="0.3">
      <c r="A107" s="25"/>
      <c r="B107" s="18"/>
      <c r="C107" s="18"/>
      <c r="D107" s="18"/>
      <c r="E107" s="18"/>
      <c r="F107" s="18"/>
      <c r="G107" s="18"/>
      <c r="H107" s="18"/>
    </row>
    <row r="108" spans="1:8" x14ac:dyDescent="0.3">
      <c r="A108" s="25"/>
      <c r="B108" s="18"/>
      <c r="C108" s="18"/>
      <c r="D108" s="18"/>
      <c r="E108" s="18"/>
      <c r="F108" s="18"/>
      <c r="G108" s="18"/>
      <c r="H108" s="18"/>
    </row>
    <row r="109" spans="1:8" x14ac:dyDescent="0.3">
      <c r="A109" s="25"/>
      <c r="B109" s="18"/>
      <c r="C109" s="18"/>
      <c r="D109" s="18"/>
      <c r="E109" s="18"/>
      <c r="F109" s="18"/>
      <c r="G109" s="18"/>
      <c r="H109" s="18"/>
    </row>
    <row r="110" spans="1:8" x14ac:dyDescent="0.3">
      <c r="A110" s="25"/>
      <c r="B110" s="18"/>
      <c r="C110" s="18"/>
      <c r="D110" s="18"/>
      <c r="E110" s="18"/>
      <c r="F110" s="18"/>
      <c r="G110" s="18"/>
      <c r="H110" s="18"/>
    </row>
    <row r="111" spans="1:8" x14ac:dyDescent="0.3">
      <c r="A111" s="25"/>
      <c r="B111" s="18"/>
      <c r="C111" s="18"/>
      <c r="D111" s="18"/>
      <c r="E111" s="18"/>
      <c r="F111" s="18"/>
      <c r="G111" s="18"/>
      <c r="H111" s="18"/>
    </row>
    <row r="112" spans="1:8" x14ac:dyDescent="0.3">
      <c r="A112" s="25"/>
      <c r="B112" s="18"/>
      <c r="C112" s="18"/>
      <c r="D112" s="18"/>
      <c r="E112" s="18"/>
      <c r="F112" s="18"/>
      <c r="G112" s="18"/>
      <c r="H112" s="18"/>
    </row>
    <row r="113" spans="1:8" x14ac:dyDescent="0.3">
      <c r="A113" s="25"/>
      <c r="B113" s="18"/>
      <c r="C113" s="18"/>
      <c r="D113" s="18"/>
      <c r="E113" s="18"/>
      <c r="F113" s="18"/>
      <c r="G113" s="18"/>
      <c r="H113" s="18"/>
    </row>
    <row r="114" spans="1:8" x14ac:dyDescent="0.3">
      <c r="A114" s="25"/>
      <c r="B114" s="18"/>
      <c r="C114" s="18"/>
      <c r="D114" s="18"/>
      <c r="E114" s="18"/>
      <c r="F114" s="18"/>
      <c r="G114" s="18"/>
      <c r="H114" s="18"/>
    </row>
    <row r="115" spans="1:8" x14ac:dyDescent="0.3">
      <c r="A115" s="25"/>
      <c r="B115" s="18"/>
      <c r="C115" s="18"/>
      <c r="D115" s="18"/>
      <c r="E115" s="18"/>
      <c r="F115" s="18"/>
      <c r="G115" s="18"/>
      <c r="H115" s="18"/>
    </row>
    <row r="116" spans="1:8" x14ac:dyDescent="0.3">
      <c r="A116" s="25"/>
      <c r="B116" s="18"/>
      <c r="C116" s="18"/>
      <c r="D116" s="18"/>
      <c r="E116" s="18"/>
      <c r="F116" s="18"/>
      <c r="G116" s="18"/>
      <c r="H116" s="18"/>
    </row>
    <row r="117" spans="1:8" x14ac:dyDescent="0.3">
      <c r="A117" s="25"/>
      <c r="B117" s="18"/>
      <c r="C117" s="18"/>
      <c r="D117" s="18"/>
      <c r="E117" s="18"/>
      <c r="F117" s="18"/>
      <c r="G117" s="18"/>
      <c r="H117" s="18"/>
    </row>
    <row r="118" spans="1:8" x14ac:dyDescent="0.3">
      <c r="A118" s="25"/>
      <c r="B118" s="18"/>
      <c r="C118" s="18"/>
      <c r="D118" s="18"/>
      <c r="E118" s="18"/>
      <c r="F118" s="18"/>
      <c r="G118" s="18"/>
      <c r="H118" s="18"/>
    </row>
    <row r="119" spans="1:8" x14ac:dyDescent="0.3">
      <c r="A119" s="25"/>
      <c r="B119" s="18"/>
      <c r="C119" s="18"/>
      <c r="D119" s="18"/>
      <c r="E119" s="18"/>
      <c r="F119" s="18"/>
      <c r="G119" s="18"/>
      <c r="H119" s="18"/>
    </row>
    <row r="120" spans="1:8" x14ac:dyDescent="0.3">
      <c r="A120" s="25"/>
      <c r="B120" s="18"/>
      <c r="C120" s="18"/>
      <c r="D120" s="18"/>
      <c r="E120" s="18"/>
      <c r="F120" s="18"/>
      <c r="G120" s="18"/>
      <c r="H120" s="18"/>
    </row>
    <row r="121" spans="1:8" x14ac:dyDescent="0.3">
      <c r="A121" s="25"/>
      <c r="B121" s="18"/>
      <c r="C121" s="18"/>
      <c r="D121" s="18"/>
      <c r="E121" s="18"/>
      <c r="F121" s="18"/>
      <c r="G121" s="18"/>
      <c r="H121" s="18"/>
    </row>
    <row r="122" spans="1:8" x14ac:dyDescent="0.3">
      <c r="A122" s="25"/>
      <c r="B122" s="18"/>
      <c r="C122" s="18"/>
      <c r="D122" s="18"/>
      <c r="E122" s="18"/>
      <c r="F122" s="18"/>
      <c r="G122" s="18"/>
      <c r="H122" s="18"/>
    </row>
    <row r="123" spans="1:8" x14ac:dyDescent="0.3">
      <c r="A123" s="25"/>
      <c r="B123" s="18"/>
      <c r="C123" s="18"/>
      <c r="D123" s="18"/>
      <c r="E123" s="18"/>
      <c r="F123" s="18"/>
      <c r="G123" s="18"/>
      <c r="H123" s="18"/>
    </row>
    <row r="124" spans="1:8" x14ac:dyDescent="0.3">
      <c r="A124" s="25"/>
      <c r="B124" s="18"/>
      <c r="C124" s="18"/>
      <c r="D124" s="18"/>
      <c r="E124" s="18"/>
      <c r="F124" s="18"/>
      <c r="G124" s="18"/>
      <c r="H124" s="18"/>
    </row>
    <row r="125" spans="1:8" x14ac:dyDescent="0.3">
      <c r="A125" s="25"/>
      <c r="B125" s="18"/>
      <c r="C125" s="18"/>
      <c r="D125" s="18"/>
      <c r="E125" s="18"/>
      <c r="F125" s="18"/>
      <c r="G125" s="18"/>
      <c r="H125" s="18"/>
    </row>
    <row r="126" spans="1:8" x14ac:dyDescent="0.3">
      <c r="A126" s="25"/>
      <c r="B126" s="18"/>
      <c r="C126" s="18"/>
      <c r="D126" s="18"/>
      <c r="E126" s="18"/>
      <c r="F126" s="18"/>
      <c r="G126" s="18"/>
      <c r="H126" s="18"/>
    </row>
    <row r="127" spans="1:8" x14ac:dyDescent="0.3">
      <c r="A127" s="25"/>
      <c r="B127" s="18"/>
      <c r="C127" s="18"/>
      <c r="D127" s="18"/>
      <c r="E127" s="18"/>
      <c r="F127" s="18"/>
      <c r="G127" s="18"/>
      <c r="H127" s="18"/>
    </row>
    <row r="128" spans="1:8" x14ac:dyDescent="0.3">
      <c r="A128" s="25"/>
      <c r="B128" s="18"/>
      <c r="C128" s="18"/>
      <c r="D128" s="18"/>
      <c r="E128" s="18"/>
      <c r="F128" s="18"/>
      <c r="G128" s="18"/>
      <c r="H128" s="18"/>
    </row>
    <row r="129" spans="1:8" x14ac:dyDescent="0.3">
      <c r="A129" s="25"/>
      <c r="B129" s="18"/>
      <c r="C129" s="18"/>
      <c r="D129" s="18"/>
      <c r="E129" s="18"/>
      <c r="F129" s="18"/>
      <c r="G129" s="18"/>
      <c r="H129" s="18"/>
    </row>
    <row r="130" spans="1:8" x14ac:dyDescent="0.3">
      <c r="A130" s="25"/>
      <c r="B130" s="18"/>
      <c r="C130" s="18"/>
      <c r="D130" s="18"/>
      <c r="E130" s="18"/>
      <c r="F130" s="18"/>
      <c r="G130" s="18"/>
      <c r="H130" s="18"/>
    </row>
    <row r="131" spans="1:8" x14ac:dyDescent="0.3">
      <c r="A131" s="25"/>
      <c r="B131" s="18"/>
      <c r="C131" s="18"/>
      <c r="D131" s="18"/>
      <c r="E131" s="18"/>
      <c r="F131" s="18"/>
      <c r="G131" s="18"/>
      <c r="H131" s="18"/>
    </row>
    <row r="132" spans="1:8" x14ac:dyDescent="0.3">
      <c r="A132" s="25"/>
      <c r="B132" s="18"/>
      <c r="C132" s="18"/>
      <c r="D132" s="18"/>
      <c r="E132" s="18"/>
      <c r="F132" s="18"/>
      <c r="G132" s="18"/>
      <c r="H132" s="18"/>
    </row>
    <row r="133" spans="1:8" x14ac:dyDescent="0.3">
      <c r="A133" s="25"/>
      <c r="B133" s="18"/>
      <c r="C133" s="18"/>
      <c r="D133" s="18"/>
      <c r="E133" s="18"/>
      <c r="F133" s="18"/>
      <c r="G133" s="18"/>
      <c r="H133" s="18"/>
    </row>
    <row r="134" spans="1:8" x14ac:dyDescent="0.3">
      <c r="A134" s="25"/>
      <c r="B134" s="18"/>
      <c r="C134" s="18"/>
      <c r="D134" s="18"/>
      <c r="E134" s="18"/>
      <c r="F134" s="18"/>
      <c r="G134" s="18"/>
      <c r="H134" s="18"/>
    </row>
    <row r="135" spans="1:8" x14ac:dyDescent="0.3">
      <c r="A135" s="25"/>
      <c r="B135" s="18"/>
      <c r="C135" s="18"/>
      <c r="D135" s="18"/>
      <c r="E135" s="18"/>
      <c r="F135" s="18"/>
      <c r="G135" s="18"/>
      <c r="H135" s="18"/>
    </row>
    <row r="136" spans="1:8" x14ac:dyDescent="0.3">
      <c r="A136" s="25"/>
      <c r="B136" s="18"/>
      <c r="C136" s="18"/>
      <c r="D136" s="18"/>
      <c r="E136" s="18"/>
      <c r="F136" s="18"/>
      <c r="G136" s="18"/>
      <c r="H136" s="18"/>
    </row>
    <row r="137" spans="1:8" x14ac:dyDescent="0.3">
      <c r="A137" s="25"/>
      <c r="B137" s="18"/>
      <c r="C137" s="18"/>
      <c r="D137" s="18"/>
      <c r="E137" s="18"/>
      <c r="F137" s="18"/>
      <c r="G137" s="18"/>
      <c r="H137" s="18"/>
    </row>
    <row r="138" spans="1:8" x14ac:dyDescent="0.3">
      <c r="A138" s="25"/>
      <c r="B138" s="18"/>
      <c r="C138" s="18"/>
      <c r="D138" s="18"/>
      <c r="E138" s="18"/>
      <c r="F138" s="18"/>
      <c r="G138" s="18"/>
      <c r="H138" s="18"/>
    </row>
    <row r="139" spans="1:8" x14ac:dyDescent="0.3">
      <c r="A139" s="25"/>
      <c r="B139" s="18"/>
      <c r="C139" s="18"/>
      <c r="D139" s="18"/>
      <c r="E139" s="18"/>
      <c r="F139" s="18"/>
      <c r="G139" s="18"/>
      <c r="H139" s="18"/>
    </row>
    <row r="140" spans="1:8" x14ac:dyDescent="0.3">
      <c r="A140" s="25"/>
      <c r="B140" s="18"/>
      <c r="C140" s="18"/>
      <c r="D140" s="18"/>
      <c r="E140" s="18"/>
      <c r="F140" s="18"/>
      <c r="G140" s="18"/>
      <c r="H140" s="18"/>
    </row>
    <row r="141" spans="1:8" x14ac:dyDescent="0.3">
      <c r="A141" s="25"/>
      <c r="B141" s="18"/>
      <c r="C141" s="18"/>
      <c r="D141" s="18"/>
      <c r="E141" s="18"/>
      <c r="F141" s="18"/>
      <c r="G141" s="18"/>
      <c r="H141" s="18"/>
    </row>
    <row r="142" spans="1:8" x14ac:dyDescent="0.3">
      <c r="A142" s="25"/>
      <c r="B142" s="18"/>
      <c r="C142" s="18"/>
      <c r="D142" s="18"/>
      <c r="E142" s="18"/>
      <c r="F142" s="18"/>
      <c r="G142" s="18"/>
      <c r="H142" s="18"/>
    </row>
    <row r="143" spans="1:8" x14ac:dyDescent="0.3">
      <c r="A143" s="25"/>
      <c r="B143" s="18"/>
      <c r="C143" s="18"/>
      <c r="D143" s="18"/>
      <c r="E143" s="18"/>
      <c r="F143" s="18"/>
      <c r="G143" s="18"/>
      <c r="H143" s="18"/>
    </row>
    <row r="144" spans="1:8" x14ac:dyDescent="0.3">
      <c r="A144" s="25"/>
      <c r="B144" s="18"/>
      <c r="C144" s="18"/>
      <c r="D144" s="18"/>
      <c r="E144" s="18"/>
      <c r="F144" s="18"/>
      <c r="G144" s="18"/>
      <c r="H144" s="18"/>
    </row>
    <row r="145" spans="1:8" x14ac:dyDescent="0.3">
      <c r="A145" s="25"/>
      <c r="B145" s="18"/>
      <c r="C145" s="18"/>
      <c r="D145" s="18"/>
      <c r="E145" s="18"/>
      <c r="F145" s="18"/>
      <c r="G145" s="18"/>
      <c r="H145" s="18"/>
    </row>
    <row r="146" spans="1:8" x14ac:dyDescent="0.3">
      <c r="A146" s="25"/>
      <c r="B146" s="18"/>
      <c r="C146" s="18"/>
      <c r="D146" s="18"/>
      <c r="E146" s="18"/>
      <c r="F146" s="18"/>
      <c r="G146" s="18"/>
      <c r="H146" s="18"/>
    </row>
    <row r="147" spans="1:8" x14ac:dyDescent="0.3">
      <c r="A147" s="25"/>
      <c r="B147" s="18"/>
      <c r="C147" s="18"/>
      <c r="D147" s="18"/>
      <c r="E147" s="18"/>
      <c r="F147" s="18"/>
      <c r="G147" s="18"/>
      <c r="H147" s="18"/>
    </row>
    <row r="148" spans="1:8" x14ac:dyDescent="0.3">
      <c r="A148" s="25"/>
      <c r="B148" s="18"/>
      <c r="C148" s="18"/>
      <c r="D148" s="18"/>
      <c r="E148" s="18"/>
      <c r="F148" s="18"/>
      <c r="G148" s="18"/>
      <c r="H148" s="18"/>
    </row>
    <row r="149" spans="1:8" x14ac:dyDescent="0.3">
      <c r="A149" s="25"/>
      <c r="B149" s="18"/>
      <c r="C149" s="18"/>
      <c r="D149" s="18"/>
      <c r="E149" s="18"/>
      <c r="F149" s="18"/>
      <c r="G149" s="18"/>
      <c r="H149" s="18"/>
    </row>
    <row r="150" spans="1:8" x14ac:dyDescent="0.3">
      <c r="A150" s="25"/>
      <c r="B150" s="18"/>
      <c r="C150" s="18"/>
      <c r="D150" s="18"/>
      <c r="E150" s="18"/>
      <c r="F150" s="18"/>
      <c r="G150" s="18"/>
      <c r="H150" s="18"/>
    </row>
    <row r="151" spans="1:8" x14ac:dyDescent="0.3">
      <c r="A151" s="25"/>
      <c r="B151" s="18"/>
      <c r="C151" s="18"/>
      <c r="D151" s="18"/>
      <c r="E151" s="18"/>
      <c r="F151" s="18"/>
      <c r="G151" s="18"/>
      <c r="H151" s="18"/>
    </row>
    <row r="152" spans="1:8" x14ac:dyDescent="0.3">
      <c r="A152" s="25"/>
      <c r="B152" s="18"/>
      <c r="C152" s="18"/>
      <c r="D152" s="18"/>
      <c r="E152" s="18"/>
      <c r="F152" s="18"/>
      <c r="G152" s="18"/>
      <c r="H152" s="18"/>
    </row>
    <row r="153" spans="1:8" x14ac:dyDescent="0.3">
      <c r="A153" s="25"/>
      <c r="B153" s="18"/>
      <c r="C153" s="18"/>
      <c r="D153" s="18"/>
      <c r="E153" s="18"/>
      <c r="F153" s="18"/>
      <c r="G153" s="18"/>
      <c r="H153" s="18"/>
    </row>
    <row r="154" spans="1:8" x14ac:dyDescent="0.3">
      <c r="A154" s="25"/>
      <c r="B154" s="18"/>
      <c r="C154" s="18"/>
      <c r="D154" s="18"/>
      <c r="E154" s="18"/>
      <c r="F154" s="18"/>
      <c r="G154" s="18"/>
      <c r="H154" s="18"/>
    </row>
    <row r="155" spans="1:8" x14ac:dyDescent="0.3">
      <c r="A155" s="25"/>
      <c r="B155" s="18"/>
      <c r="C155" s="18"/>
      <c r="D155" s="18"/>
      <c r="E155" s="18"/>
      <c r="F155" s="18"/>
      <c r="G155" s="18"/>
      <c r="H155" s="18"/>
    </row>
    <row r="156" spans="1:8" x14ac:dyDescent="0.3">
      <c r="A156" s="25"/>
      <c r="B156" s="18"/>
      <c r="C156" s="18"/>
      <c r="D156" s="18"/>
      <c r="E156" s="18"/>
      <c r="F156" s="18"/>
      <c r="G156" s="18"/>
      <c r="H156" s="18"/>
    </row>
    <row r="157" spans="1:8" x14ac:dyDescent="0.3">
      <c r="A157" s="25"/>
      <c r="B157" s="18"/>
      <c r="C157" s="18"/>
      <c r="D157" s="18"/>
      <c r="E157" s="18"/>
      <c r="F157" s="18"/>
      <c r="G157" s="18"/>
      <c r="H157" s="18"/>
    </row>
    <row r="158" spans="1:8" x14ac:dyDescent="0.3">
      <c r="A158" s="25"/>
      <c r="B158" s="18"/>
      <c r="C158" s="18"/>
      <c r="D158" s="18"/>
      <c r="E158" s="18"/>
      <c r="F158" s="18"/>
      <c r="G158" s="18"/>
      <c r="H158" s="18"/>
    </row>
    <row r="159" spans="1:8" x14ac:dyDescent="0.3">
      <c r="A159" s="25"/>
      <c r="B159" s="18"/>
      <c r="C159" s="18"/>
      <c r="D159" s="18"/>
      <c r="E159" s="18"/>
      <c r="F159" s="18"/>
      <c r="G159" s="18"/>
      <c r="H159" s="18"/>
    </row>
    <row r="160" spans="1:8" x14ac:dyDescent="0.3">
      <c r="A160" s="25"/>
      <c r="B160" s="18"/>
      <c r="C160" s="18"/>
      <c r="D160" s="18"/>
      <c r="E160" s="18"/>
      <c r="F160" s="18"/>
      <c r="G160" s="18"/>
      <c r="H160" s="18"/>
    </row>
    <row r="161" spans="1:8" x14ac:dyDescent="0.3">
      <c r="A161" s="25"/>
      <c r="B161" s="18"/>
      <c r="C161" s="18"/>
      <c r="D161" s="18"/>
      <c r="E161" s="18"/>
      <c r="F161" s="18"/>
      <c r="G161" s="18"/>
      <c r="H161" s="18"/>
    </row>
    <row r="162" spans="1:8" x14ac:dyDescent="0.3">
      <c r="A162" s="25"/>
      <c r="B162" s="18"/>
      <c r="C162" s="18"/>
      <c r="D162" s="18"/>
      <c r="E162" s="18"/>
      <c r="F162" s="18"/>
      <c r="G162" s="18"/>
      <c r="H162" s="18"/>
    </row>
    <row r="163" spans="1:8" x14ac:dyDescent="0.3">
      <c r="A163" s="25"/>
      <c r="B163" s="18"/>
      <c r="C163" s="18"/>
      <c r="D163" s="18"/>
      <c r="E163" s="18"/>
      <c r="F163" s="18"/>
      <c r="G163" s="18"/>
      <c r="H163" s="18"/>
    </row>
    <row r="164" spans="1:8" x14ac:dyDescent="0.3">
      <c r="A164" s="25"/>
      <c r="B164" s="18"/>
      <c r="C164" s="18"/>
      <c r="D164" s="18"/>
      <c r="E164" s="18"/>
      <c r="F164" s="18"/>
      <c r="G164" s="18"/>
      <c r="H164" s="18"/>
    </row>
    <row r="165" spans="1:8" x14ac:dyDescent="0.3">
      <c r="A165" s="25"/>
      <c r="B165" s="18"/>
      <c r="C165" s="18"/>
      <c r="D165" s="18"/>
      <c r="E165" s="18"/>
      <c r="F165" s="18"/>
      <c r="G165" s="18"/>
      <c r="H165" s="18"/>
    </row>
    <row r="166" spans="1:8" x14ac:dyDescent="0.3">
      <c r="A166" s="25"/>
      <c r="B166" s="18"/>
      <c r="C166" s="18"/>
      <c r="D166" s="18"/>
      <c r="E166" s="18"/>
      <c r="F166" s="18"/>
      <c r="G166" s="18"/>
      <c r="H166" s="18"/>
    </row>
    <row r="167" spans="1:8" x14ac:dyDescent="0.3">
      <c r="A167" s="25"/>
      <c r="B167" s="18"/>
      <c r="C167" s="18"/>
      <c r="D167" s="18"/>
      <c r="E167" s="18"/>
      <c r="F167" s="18"/>
      <c r="G167" s="18"/>
      <c r="H167" s="18"/>
    </row>
    <row r="168" spans="1:8" x14ac:dyDescent="0.3">
      <c r="A168" s="25"/>
      <c r="B168" s="18"/>
      <c r="C168" s="18"/>
      <c r="D168" s="18"/>
      <c r="E168" s="18"/>
      <c r="F168" s="18"/>
      <c r="G168" s="18"/>
      <c r="H168" s="18"/>
    </row>
    <row r="169" spans="1:8" x14ac:dyDescent="0.3">
      <c r="A169" s="25"/>
      <c r="B169" s="18"/>
      <c r="C169" s="18"/>
      <c r="D169" s="18"/>
      <c r="E169" s="18"/>
      <c r="F169" s="18"/>
      <c r="G169" s="18"/>
      <c r="H169" s="18"/>
    </row>
    <row r="170" spans="1:8" x14ac:dyDescent="0.3">
      <c r="A170" s="25"/>
      <c r="B170" s="18"/>
      <c r="C170" s="18"/>
      <c r="D170" s="18"/>
      <c r="E170" s="18"/>
      <c r="F170" s="18"/>
      <c r="G170" s="18"/>
      <c r="H170" s="18"/>
    </row>
    <row r="171" spans="1:8" x14ac:dyDescent="0.3">
      <c r="A171" s="25"/>
      <c r="B171" s="18"/>
      <c r="C171" s="18"/>
      <c r="D171" s="18"/>
      <c r="E171" s="18"/>
      <c r="F171" s="18"/>
      <c r="G171" s="18"/>
      <c r="H171" s="18"/>
    </row>
    <row r="172" spans="1:8" x14ac:dyDescent="0.3">
      <c r="A172" s="25"/>
      <c r="B172" s="18"/>
      <c r="C172" s="18"/>
      <c r="D172" s="18"/>
      <c r="E172" s="18"/>
      <c r="F172" s="18"/>
      <c r="G172" s="18"/>
      <c r="H172" s="18"/>
    </row>
    <row r="173" spans="1:8" x14ac:dyDescent="0.3">
      <c r="A173" s="25"/>
      <c r="B173" s="18"/>
      <c r="C173" s="18"/>
      <c r="D173" s="18"/>
      <c r="E173" s="18"/>
      <c r="F173" s="18"/>
      <c r="G173" s="18"/>
      <c r="H173" s="18"/>
    </row>
    <row r="174" spans="1:8" x14ac:dyDescent="0.3">
      <c r="A174" s="25"/>
      <c r="B174" s="18"/>
      <c r="C174" s="18"/>
      <c r="D174" s="18"/>
      <c r="E174" s="18"/>
      <c r="F174" s="18"/>
      <c r="G174" s="18"/>
      <c r="H174" s="18"/>
    </row>
    <row r="175" spans="1:8" x14ac:dyDescent="0.3">
      <c r="A175" s="25"/>
      <c r="B175" s="18"/>
      <c r="C175" s="18"/>
      <c r="D175" s="18"/>
      <c r="E175" s="18"/>
      <c r="F175" s="18"/>
      <c r="G175" s="18"/>
      <c r="H175" s="18"/>
    </row>
    <row r="176" spans="1:8" x14ac:dyDescent="0.3">
      <c r="A176" s="25"/>
      <c r="B176" s="18"/>
      <c r="C176" s="18"/>
      <c r="D176" s="18"/>
      <c r="E176" s="18"/>
      <c r="F176" s="18"/>
      <c r="G176" s="18"/>
      <c r="H176" s="18"/>
    </row>
    <row r="177" spans="1:8" x14ac:dyDescent="0.3">
      <c r="A177" s="25"/>
      <c r="B177" s="18"/>
      <c r="C177" s="18"/>
      <c r="D177" s="18"/>
      <c r="E177" s="18"/>
      <c r="F177" s="18"/>
      <c r="G177" s="18"/>
      <c r="H177" s="18"/>
    </row>
    <row r="178" spans="1:8" x14ac:dyDescent="0.3">
      <c r="A178" s="25"/>
      <c r="B178" s="18"/>
      <c r="C178" s="18"/>
      <c r="D178" s="18"/>
      <c r="E178" s="18"/>
      <c r="F178" s="18"/>
      <c r="G178" s="18"/>
      <c r="H178" s="18"/>
    </row>
    <row r="179" spans="1:8" x14ac:dyDescent="0.3">
      <c r="A179" s="25"/>
      <c r="B179" s="18"/>
      <c r="C179" s="18"/>
      <c r="D179" s="18"/>
      <c r="E179" s="18"/>
      <c r="F179" s="18"/>
      <c r="G179" s="18"/>
      <c r="H179" s="18"/>
    </row>
    <row r="180" spans="1:8" x14ac:dyDescent="0.3">
      <c r="A180" s="25"/>
      <c r="B180" s="18"/>
      <c r="C180" s="18"/>
      <c r="D180" s="18"/>
      <c r="E180" s="18"/>
      <c r="F180" s="18"/>
      <c r="G180" s="18"/>
      <c r="H180" s="18"/>
    </row>
    <row r="181" spans="1:8" x14ac:dyDescent="0.3">
      <c r="A181" s="25"/>
      <c r="B181" s="18"/>
      <c r="C181" s="18"/>
      <c r="D181" s="18"/>
      <c r="E181" s="18"/>
      <c r="F181" s="18"/>
      <c r="G181" s="18"/>
      <c r="H181" s="18"/>
    </row>
    <row r="182" spans="1:8" x14ac:dyDescent="0.3">
      <c r="A182" s="25"/>
      <c r="B182" s="18"/>
      <c r="C182" s="18"/>
      <c r="D182" s="18"/>
      <c r="E182" s="18"/>
      <c r="F182" s="18"/>
      <c r="G182" s="18"/>
      <c r="H182" s="18"/>
    </row>
    <row r="183" spans="1:8" x14ac:dyDescent="0.3">
      <c r="A183" s="25"/>
      <c r="B183" s="18"/>
      <c r="C183" s="18"/>
      <c r="D183" s="18"/>
      <c r="E183" s="18"/>
      <c r="F183" s="18"/>
      <c r="G183" s="18"/>
      <c r="H183" s="18"/>
    </row>
    <row r="184" spans="1:8" x14ac:dyDescent="0.3">
      <c r="A184" s="25"/>
      <c r="B184" s="18"/>
      <c r="C184" s="18"/>
      <c r="D184" s="18"/>
      <c r="E184" s="18"/>
      <c r="F184" s="18"/>
      <c r="G184" s="18"/>
      <c r="H184" s="18"/>
    </row>
    <row r="185" spans="1:8" x14ac:dyDescent="0.3">
      <c r="A185" s="25"/>
      <c r="B185" s="18"/>
      <c r="C185" s="18"/>
      <c r="D185" s="18"/>
      <c r="E185" s="18"/>
      <c r="F185" s="18"/>
      <c r="G185" s="18"/>
      <c r="H185" s="18"/>
    </row>
    <row r="186" spans="1:8" x14ac:dyDescent="0.3">
      <c r="A186" s="25"/>
      <c r="B186" s="18"/>
      <c r="C186" s="18"/>
      <c r="D186" s="18"/>
      <c r="E186" s="18"/>
      <c r="F186" s="18"/>
      <c r="G186" s="18"/>
      <c r="H186" s="18"/>
    </row>
    <row r="187" spans="1:8" x14ac:dyDescent="0.3">
      <c r="A187" s="25"/>
      <c r="B187" s="18"/>
      <c r="C187" s="18"/>
      <c r="D187" s="18"/>
      <c r="E187" s="18"/>
      <c r="F187" s="18"/>
      <c r="G187" s="18"/>
      <c r="H187" s="18"/>
    </row>
    <row r="188" spans="1:8" x14ac:dyDescent="0.3">
      <c r="A188" s="25"/>
      <c r="B188" s="18"/>
      <c r="C188" s="18"/>
      <c r="D188" s="18"/>
      <c r="E188" s="18"/>
      <c r="F188" s="18"/>
      <c r="G188" s="18"/>
      <c r="H188" s="18"/>
    </row>
    <row r="189" spans="1:8" x14ac:dyDescent="0.3">
      <c r="A189" s="25"/>
      <c r="B189" s="18"/>
      <c r="C189" s="18"/>
      <c r="D189" s="18"/>
      <c r="E189" s="18"/>
      <c r="F189" s="18"/>
      <c r="G189" s="18"/>
      <c r="H189" s="18"/>
    </row>
    <row r="190" spans="1:8" x14ac:dyDescent="0.3">
      <c r="A190" s="25"/>
      <c r="B190" s="18"/>
      <c r="C190" s="18"/>
      <c r="D190" s="18"/>
      <c r="E190" s="18"/>
      <c r="F190" s="18"/>
      <c r="G190" s="18"/>
      <c r="H190" s="18"/>
    </row>
    <row r="191" spans="1:8" x14ac:dyDescent="0.3">
      <c r="A191" s="25"/>
      <c r="B191" s="18"/>
      <c r="C191" s="18"/>
      <c r="D191" s="18"/>
      <c r="E191" s="18"/>
      <c r="F191" s="18"/>
      <c r="G191" s="18"/>
      <c r="H191" s="18"/>
    </row>
    <row r="192" spans="1:8" x14ac:dyDescent="0.3">
      <c r="A192" s="25"/>
      <c r="B192" s="18"/>
      <c r="C192" s="18"/>
      <c r="D192" s="18"/>
      <c r="E192" s="18"/>
      <c r="F192" s="18"/>
      <c r="G192" s="18"/>
      <c r="H192" s="18"/>
    </row>
    <row r="193" spans="1:8" x14ac:dyDescent="0.3">
      <c r="A193" s="25"/>
      <c r="B193" s="18"/>
      <c r="C193" s="18"/>
      <c r="D193" s="18"/>
      <c r="E193" s="18"/>
      <c r="F193" s="18"/>
      <c r="G193" s="18"/>
      <c r="H193" s="18"/>
    </row>
    <row r="194" spans="1:8" x14ac:dyDescent="0.3">
      <c r="A194" s="25"/>
      <c r="B194" s="18"/>
      <c r="C194" s="18"/>
      <c r="D194" s="18"/>
      <c r="E194" s="18"/>
      <c r="F194" s="18"/>
      <c r="G194" s="18"/>
      <c r="H194" s="18"/>
    </row>
    <row r="195" spans="1:8" x14ac:dyDescent="0.3">
      <c r="A195" s="25"/>
      <c r="B195" s="18"/>
      <c r="C195" s="18"/>
      <c r="D195" s="18"/>
      <c r="E195" s="18"/>
      <c r="F195" s="18"/>
      <c r="G195" s="18"/>
      <c r="H195" s="18"/>
    </row>
    <row r="196" spans="1:8" x14ac:dyDescent="0.3">
      <c r="A196" s="25"/>
      <c r="B196" s="18"/>
      <c r="C196" s="18"/>
      <c r="D196" s="18"/>
      <c r="E196" s="18"/>
      <c r="F196" s="18"/>
      <c r="G196" s="18"/>
      <c r="H196" s="18"/>
    </row>
    <row r="197" spans="1:8" x14ac:dyDescent="0.3">
      <c r="A197" s="25"/>
      <c r="B197" s="18"/>
      <c r="C197" s="18"/>
      <c r="D197" s="18"/>
      <c r="E197" s="18"/>
      <c r="F197" s="18"/>
      <c r="G197" s="18"/>
      <c r="H197" s="18"/>
    </row>
    <row r="198" spans="1:8" x14ac:dyDescent="0.3">
      <c r="A198" s="25"/>
      <c r="B198" s="18"/>
      <c r="C198" s="18"/>
      <c r="D198" s="18"/>
      <c r="E198" s="18"/>
      <c r="F198" s="18"/>
      <c r="G198" s="18"/>
      <c r="H198" s="18"/>
    </row>
    <row r="199" spans="1:8" x14ac:dyDescent="0.3">
      <c r="A199" s="25"/>
      <c r="B199" s="18"/>
      <c r="C199" s="18"/>
      <c r="D199" s="18"/>
      <c r="E199" s="18"/>
      <c r="F199" s="18"/>
      <c r="G199" s="18"/>
      <c r="H199" s="18"/>
    </row>
  </sheetData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Lists!$A$3:$A$4</xm:f>
          </x14:formula1>
          <xm:sqref>B4:B200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/>
  </sheetViews>
  <sheetFormatPr defaultRowHeight="14.4" x14ac:dyDescent="0.3"/>
  <cols>
    <col min="1" max="1" width="14" customWidth="1"/>
    <col min="2" max="2" width="39" customWidth="1"/>
    <col min="3" max="3" width="19" customWidth="1"/>
    <col min="4" max="4" width="33" customWidth="1"/>
    <col min="5" max="5" width="25" customWidth="1"/>
    <col min="6" max="6" width="19" customWidth="1"/>
    <col min="7" max="7" width="24" customWidth="1"/>
    <col min="8" max="8" width="14" customWidth="1"/>
    <col min="9" max="9" width="16" customWidth="1"/>
    <col min="10" max="11" width="14" customWidth="1"/>
    <col min="12" max="12" width="26" customWidth="1"/>
  </cols>
  <sheetData>
    <row r="1" spans="1:12" x14ac:dyDescent="0.3">
      <c r="A1" s="17" t="s">
        <v>1142</v>
      </c>
    </row>
    <row r="2" spans="1:12" x14ac:dyDescent="0.3">
      <c r="A2" s="26" t="s">
        <v>1143</v>
      </c>
      <c r="B2" s="26" t="s">
        <v>1144</v>
      </c>
      <c r="C2" s="26" t="s">
        <v>1145</v>
      </c>
      <c r="D2" s="26" t="s">
        <v>1146</v>
      </c>
      <c r="E2" s="26" t="s">
        <v>1147</v>
      </c>
      <c r="F2" s="26" t="s">
        <v>74</v>
      </c>
      <c r="G2" s="26" t="s">
        <v>81</v>
      </c>
      <c r="H2" s="26" t="s">
        <v>1148</v>
      </c>
      <c r="I2" s="26" t="s">
        <v>1149</v>
      </c>
      <c r="J2" s="26" t="s">
        <v>93</v>
      </c>
      <c r="K2" s="26" t="s">
        <v>1150</v>
      </c>
      <c r="L2" s="26" t="s">
        <v>1151</v>
      </c>
    </row>
    <row r="3" spans="1:12" x14ac:dyDescent="0.3">
      <c r="A3" s="27" t="s">
        <v>97</v>
      </c>
      <c r="B3" s="27" t="s">
        <v>98</v>
      </c>
      <c r="C3" s="27" t="s">
        <v>203</v>
      </c>
      <c r="D3" s="27" t="s">
        <v>204</v>
      </c>
      <c r="E3" s="27" t="s">
        <v>298</v>
      </c>
      <c r="F3" s="27" t="s">
        <v>404</v>
      </c>
      <c r="G3" s="27" t="s">
        <v>107</v>
      </c>
      <c r="H3" s="27" t="s">
        <v>141</v>
      </c>
      <c r="I3" s="27" t="s">
        <v>109</v>
      </c>
      <c r="J3" s="27" t="s">
        <v>111</v>
      </c>
      <c r="K3" s="27">
        <v>1</v>
      </c>
      <c r="L3" s="27" t="s">
        <v>99</v>
      </c>
    </row>
    <row r="4" spans="1:12" x14ac:dyDescent="0.3">
      <c r="A4" s="27" t="s">
        <v>328</v>
      </c>
      <c r="B4" s="27" t="s">
        <v>201</v>
      </c>
      <c r="C4" s="27" t="s">
        <v>100</v>
      </c>
      <c r="D4" s="27" t="s">
        <v>101</v>
      </c>
      <c r="E4" s="27" t="s">
        <v>416</v>
      </c>
      <c r="F4" s="27" t="s">
        <v>1152</v>
      </c>
      <c r="G4" s="27" t="s">
        <v>142</v>
      </c>
      <c r="H4" s="27" t="s">
        <v>108</v>
      </c>
      <c r="I4" s="27" t="s">
        <v>1153</v>
      </c>
      <c r="J4" s="27" t="s">
        <v>411</v>
      </c>
      <c r="K4" s="27">
        <v>3</v>
      </c>
      <c r="L4" s="27" t="s">
        <v>135</v>
      </c>
    </row>
    <row r="5" spans="1:12" x14ac:dyDescent="0.3">
      <c r="B5" s="27" t="s">
        <v>329</v>
      </c>
      <c r="C5" s="27" t="s">
        <v>184</v>
      </c>
      <c r="D5" s="27" t="s">
        <v>213</v>
      </c>
      <c r="E5" s="27" t="s">
        <v>223</v>
      </c>
      <c r="F5" s="27" t="s">
        <v>1154</v>
      </c>
      <c r="G5" s="27" t="s">
        <v>1155</v>
      </c>
      <c r="I5" s="27" t="s">
        <v>1156</v>
      </c>
      <c r="J5" s="27" t="s">
        <v>1157</v>
      </c>
      <c r="K5" s="27">
        <v>6</v>
      </c>
      <c r="L5" s="27" t="s">
        <v>183</v>
      </c>
    </row>
    <row r="6" spans="1:12" x14ac:dyDescent="0.3">
      <c r="B6" s="27" t="s">
        <v>240</v>
      </c>
      <c r="C6" s="27" t="s">
        <v>449</v>
      </c>
      <c r="D6" s="27" t="s">
        <v>310</v>
      </c>
      <c r="E6" s="27" t="s">
        <v>1158</v>
      </c>
      <c r="F6" s="27" t="s">
        <v>1159</v>
      </c>
      <c r="G6" s="27" t="s">
        <v>1160</v>
      </c>
      <c r="I6" s="27" t="s">
        <v>117</v>
      </c>
      <c r="K6" s="27">
        <v>12</v>
      </c>
      <c r="L6" s="27" t="s">
        <v>202</v>
      </c>
    </row>
    <row r="7" spans="1:12" x14ac:dyDescent="0.3">
      <c r="B7" s="27" t="s">
        <v>399</v>
      </c>
      <c r="C7" s="27" t="s">
        <v>279</v>
      </c>
      <c r="E7" s="27" t="s">
        <v>375</v>
      </c>
      <c r="F7" s="27" t="s">
        <v>1161</v>
      </c>
      <c r="G7" s="27" t="s">
        <v>490</v>
      </c>
      <c r="I7" s="27" t="s">
        <v>491</v>
      </c>
      <c r="L7" s="27" t="s">
        <v>330</v>
      </c>
    </row>
    <row r="8" spans="1:12" x14ac:dyDescent="0.3">
      <c r="B8" s="27" t="s">
        <v>447</v>
      </c>
      <c r="C8" s="27" t="s">
        <v>550</v>
      </c>
      <c r="E8" s="27" t="s">
        <v>426</v>
      </c>
      <c r="F8" s="27" t="s">
        <v>105</v>
      </c>
      <c r="G8" s="27" t="s">
        <v>1162</v>
      </c>
      <c r="L8" s="27" t="s">
        <v>353</v>
      </c>
    </row>
    <row r="9" spans="1:12" x14ac:dyDescent="0.3">
      <c r="B9" s="27" t="s">
        <v>236</v>
      </c>
      <c r="E9" s="27" t="s">
        <v>282</v>
      </c>
      <c r="L9" s="27" t="s">
        <v>377</v>
      </c>
    </row>
    <row r="10" spans="1:12" x14ac:dyDescent="0.3">
      <c r="B10" s="27" t="s">
        <v>519</v>
      </c>
      <c r="E10" s="27" t="s">
        <v>181</v>
      </c>
      <c r="L10" s="27" t="s">
        <v>278</v>
      </c>
    </row>
    <row r="11" spans="1:12" x14ac:dyDescent="0.3">
      <c r="E11" s="27" t="s">
        <v>333</v>
      </c>
      <c r="L11" s="27" t="s">
        <v>390</v>
      </c>
    </row>
    <row r="12" spans="1:12" x14ac:dyDescent="0.3">
      <c r="E12" s="27" t="s">
        <v>104</v>
      </c>
      <c r="L12" s="27" t="s">
        <v>400</v>
      </c>
    </row>
    <row r="13" spans="1:12" x14ac:dyDescent="0.3">
      <c r="E13" s="27" t="s">
        <v>115</v>
      </c>
      <c r="L13" s="27" t="s">
        <v>512</v>
      </c>
    </row>
    <row r="14" spans="1:12" x14ac:dyDescent="0.3">
      <c r="E14" s="27" t="s">
        <v>129</v>
      </c>
      <c r="L14" s="27" t="s">
        <v>423</v>
      </c>
    </row>
    <row r="15" spans="1:12" x14ac:dyDescent="0.3">
      <c r="E15" s="27" t="s">
        <v>133</v>
      </c>
      <c r="L15" s="27" t="s">
        <v>295</v>
      </c>
    </row>
    <row r="16" spans="1:12" x14ac:dyDescent="0.3">
      <c r="E16" s="27" t="s">
        <v>195</v>
      </c>
      <c r="L16" s="27" t="s">
        <v>309</v>
      </c>
    </row>
    <row r="17" spans="5:12" x14ac:dyDescent="0.3">
      <c r="E17" s="27" t="s">
        <v>340</v>
      </c>
      <c r="L17" s="27" t="s">
        <v>527</v>
      </c>
    </row>
    <row r="18" spans="5:12" x14ac:dyDescent="0.3">
      <c r="E18" s="27" t="s">
        <v>488</v>
      </c>
      <c r="L18" s="27" t="s">
        <v>465</v>
      </c>
    </row>
    <row r="19" spans="5:12" x14ac:dyDescent="0.3">
      <c r="E19" s="27" t="s">
        <v>138</v>
      </c>
      <c r="L19" s="27" t="s">
        <v>448</v>
      </c>
    </row>
    <row r="20" spans="5:12" x14ac:dyDescent="0.3">
      <c r="E20" s="27" t="s">
        <v>313</v>
      </c>
      <c r="L20" s="27" t="s">
        <v>485</v>
      </c>
    </row>
    <row r="21" spans="5:12" x14ac:dyDescent="0.3">
      <c r="E21" s="27" t="s">
        <v>553</v>
      </c>
      <c r="L21" s="27" t="s">
        <v>532</v>
      </c>
    </row>
    <row r="22" spans="5:12" x14ac:dyDescent="0.3">
      <c r="E22" s="27" t="s">
        <v>1163</v>
      </c>
      <c r="L22" s="27" t="s">
        <v>537</v>
      </c>
    </row>
    <row r="23" spans="5:12" x14ac:dyDescent="0.3">
      <c r="L23" s="27" t="s">
        <v>545</v>
      </c>
    </row>
    <row r="24" spans="5:12" x14ac:dyDescent="0.3">
      <c r="L24" s="27" t="s">
        <v>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How to Fill</vt:lpstr>
      <vt:lpstr>Source Register</vt:lpstr>
      <vt:lpstr>Progress</vt:lpstr>
      <vt:lpstr>Watch Feeds</vt:lpstr>
      <vt:lpstr>Benchmark Catalogue</vt:lpstr>
      <vt:lpstr>Daily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Jegadeesh</cp:lastModifiedBy>
  <dcterms:created xsi:type="dcterms:W3CDTF">2026-10-10T08:39:32Z</dcterms:created>
  <dcterms:modified xsi:type="dcterms:W3CDTF">2026-10-10T09:07:34Z</dcterms:modified>
</cp:coreProperties>
</file>